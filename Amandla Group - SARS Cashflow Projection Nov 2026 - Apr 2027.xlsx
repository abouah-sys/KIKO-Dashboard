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Risks &amp; notes" sheetId="3" state="visible" r:id="rId5"/>
    <sheet name="SH NPC PAYE" sheetId="4" state="visible" r:id="rId6"/>
    <sheet name="SH NPC VAT" sheetId="5" state="visible" r:id="rId7"/>
    <sheet name="SH Enterprises VAT" sheetId="6" state="visible" r:id="rId8"/>
    <sheet name="Amandla PAYE" sheetId="7" state="visible" r:id="rId9"/>
    <sheet name="Amandla VA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<sst xmlns="http://schemas.openxmlformats.org/spreadsheetml/2006/main" count="736" uniqueCount="456">
  <si>
    <t xml:space="preserve">Amandla group - SARS cashflow projection, November 2026 to April 2027</t>
  </si>
  <si>
    <t xml:space="preserve">Prepared by Creative CFO, 26 October 2026, from the SARS statements of account (issued 26 Oct 2026), the Xero VAT201 screens and the Xero P&amp;L / balance sheet to September 2026. Positive = cash paid to SARS, (negative) = cash received from SARS. Amounts in Rand. Blue inputs live on the Assumptions tab.</t>
  </si>
  <si>
    <t xml:space="preserve">Line</t>
  </si>
  <si>
    <t xml:space="preserve">When it is paid / received</t>
  </si>
  <si>
    <t xml:space="preserve">Oct 2026 (rest of month)</t>
  </si>
  <si>
    <t xml:space="preserve">Nov 2026</t>
  </si>
  <si>
    <t xml:space="preserve">Dec 2026</t>
  </si>
  <si>
    <t xml:space="preserve">Jan 2027</t>
  </si>
  <si>
    <t xml:space="preserve">Feb 2027</t>
  </si>
  <si>
    <t xml:space="preserve">Mar 2027</t>
  </si>
  <si>
    <t xml:space="preserve">Apr 2027</t>
  </si>
  <si>
    <t xml:space="preserve">Total Nov-Apr</t>
  </si>
  <si>
    <t xml:space="preserve">Basis</t>
  </si>
  <si>
    <t xml:space="preserve">Safe Hub NPC</t>
  </si>
  <si>
    <t xml:space="preserve">EMP201: PAYE + SDL + UIF less ETI</t>
  </si>
  <si>
    <t xml:space="preserve">By the 7th: 6 Nov, 7 Dec, 7 Jan, 5 Feb, 5 Mar, 7 Apr (pays the previous month's payroll)</t>
  </si>
  <si>
    <t xml:space="preserve">Sep 2026 actual run-rate (PAYE R220k, ETI R139k). Jan 2027 carries the December bonus payroll (Dec-25 PAYE was 1.87x Nov-25). Sep paid 7 Oct.</t>
  </si>
  <si>
    <t xml:space="preserve">ETI refund from SARS (Mar-Aug 2026 cycle)</t>
  </si>
  <si>
    <t xml:space="preserve">Expected ~10 Dec 2026, after the EMP501 (due 31 Oct) is filed and verified</t>
  </si>
  <si>
    <t xml:space="preserve">R505,106.68 per SARS statement. Last year's cycle was paid 10 Dec 2025. Not paid until the EMP501 is in; a verification can push it to January.</t>
  </si>
  <si>
    <t xml:space="preserve">VAT201 (bi-monthly: Sep-Oct, Nov-Dec, Jan-Feb)</t>
  </si>
  <si>
    <t xml:space="preserve">Last business day: 30 Nov, 29 Jan, 31 Mar (file by the 25th). Jul-Aug was paid 7 Oct.</t>
  </si>
  <si>
    <t xml:space="preserve">Sep-Oct: Xero to date R268k plus the Oct recharge (~R194k). Nov-Dec and Jan-Feb: trailing 3-return average R408k. Output VAT on the salary recharge to Amandla.</t>
  </si>
  <si>
    <t xml:space="preserve">Net Safe Hub NPC</t>
  </si>
  <si>
    <t xml:space="preserve">Safe Hub Enterprises (Pty) Ltd (VAT only, no payroll)</t>
  </si>
  <si>
    <t xml:space="preserve">VAT201 Aug-Sep 2026 (filed 26 Oct)</t>
  </si>
  <si>
    <t xml:space="preserve">Pay by Fri 30 Oct 2026 via eFiling</t>
  </si>
  <si>
    <t xml:space="preserve">R191,492.58 per SARS statement. Xero shows R375,052.08 for the same period: reconcile before paying. The R19,149 penalty on the statement falls away if paid by 30 Oct.</t>
  </si>
  <si>
    <t xml:space="preserve">Late-payment penalty on Aug-Sep if not paid by 30 Oct</t>
  </si>
  <si>
    <t xml:space="preserve">Only if the 30 Oct deadline is missed</t>
  </si>
  <si>
    <t xml:space="preserve">10% of the return, plus interest from 1 Nov. Switch on the Assumptions tab.</t>
  </si>
  <si>
    <t xml:space="preserve">VAT201 (bi-monthly: Oct-Nov, Dec-Jan, Feb-Mar)</t>
  </si>
  <si>
    <t xml:space="preserve">Last business day: 31 Dec, 26 Feb, 30 Apr (file by the 25th)</t>
  </si>
  <si>
    <t xml:space="preserve">Oct-Nov: R650k judgement (last year R1.14m incl. a once-off R3m invoice). Dec-Jan: last year R122k. Feb-Mar: last year R754k. Moves 1:1 with funder invoicing.</t>
  </si>
  <si>
    <t xml:space="preserve">Net Safe Hub Enterprises</t>
  </si>
  <si>
    <t xml:space="preserve">Amandla Social Enterprises</t>
  </si>
  <si>
    <t xml:space="preserve">EMP201: PAYE + UIF less ETI (no SDL)</t>
  </si>
  <si>
    <t xml:space="preserve">Sep 2026 actual run-rate (PAYE R606k, ETI R56k, net R573k). Jan 2027 carries the December bonus payroll (Dec-25 PAYE was 1.64x Nov-25). Sep paid 7 Oct.</t>
  </si>
  <si>
    <t xml:space="preserve">VAT201 refunds (monthly)</t>
  </si>
  <si>
    <t xml:space="preserve">Filed by the 25th of the following month; SARS usually pays within a week of filing</t>
  </si>
  <si>
    <t xml:space="preserve">Trailing 6-month average refund R523k per month (Jul-Sep ran at R610k). 2 of the last 12 refunds were held ~4 weeks for verification; the delay switch on Assumptions shifts all refunds a month later.</t>
  </si>
  <si>
    <t xml:space="preserve">Net Amandla Social Enterprises</t>
  </si>
  <si>
    <t xml:space="preserve">Group</t>
  </si>
  <si>
    <t xml:space="preserve">Total payments to SARS</t>
  </si>
  <si>
    <t xml:space="preserve">EMP201 and VAT payments across the three entities.</t>
  </si>
  <si>
    <t xml:space="preserve">Total receipts from SARS</t>
  </si>
  <si>
    <t xml:space="preserve">Amandla VAT refunds and the NPC ETI refund.</t>
  </si>
  <si>
    <t xml:space="preserve">Net cash to (from) SARS</t>
  </si>
  <si>
    <t xml:space="preserve">Cumulative from 1 Nov 2026</t>
  </si>
  <si>
    <t xml:space="preserve">Key points for Claudene and Thapelo</t>
  </si>
  <si>
    <t xml:space="preserve">1. Safe Hub Enterprises must pay R191,492.58 by Friday 30 October 2026 to avoid the R19,149 penalty already showing on its statement. Reconcile against the Xero figure of R375,052.08 first.</t>
  </si>
  <si>
    <t xml:space="preserve">2. The Safe Hub NPC EMP501 is due 31 October 2026. The R505,107 ETI refund will not be paid until it is filed; on last year's timing it should arrive around 10 December. This is the single biggest receipt in the forecast.</t>
  </si>
  <si>
    <t xml:space="preserve">3. January 2027 is the heaviest month: the December bonus payroll lifts both EMP201s (paid 7 Jan) and the Safe Hub NPC Nov-Dec VAT falls due on 29 January.</t>
  </si>
  <si>
    <t xml:space="preserve">4. Late payments cost the group roughly R330k in penalties and interest over the last 12 months (see Risks &amp; notes). Paying EMP201 by the 7th and VAT by the last business day removes that cost entirely.</t>
  </si>
  <si>
    <t xml:space="preserve">5. Amandla's VAT refunds (~R520k a month) fund most of the group's SARS payments. If SARS holds one for verification, the group net swings by that amount for a month.</t>
  </si>
  <si>
    <t xml:space="preserve">6. PAYE run-rates are the September 2026 actuals. Replace them with the October payroll figures from SimplePay as soon as the payroll is run (Assumptions tab, rows highlighted yellow).</t>
  </si>
  <si>
    <t xml:space="preserve">Assumptions and inputs</t>
  </si>
  <si>
    <t xml:space="preserve">Blue cells are inputs you can change; the Summary recalculates. Yellow = key judgement calls. Green = pulled from the history tabs (SARS statements).</t>
  </si>
  <si>
    <t xml:space="preserve">1. Horizon and payment timing</t>
  </si>
  <si>
    <t xml:space="preserve">EMP201 payment date (7th of the month, or the last business day before it)</t>
  </si>
  <si>
    <t xml:space="preserve">paid 7 Oct (done)</t>
  </si>
  <si>
    <t xml:space="preserve">Fri 6 Nov</t>
  </si>
  <si>
    <t xml:space="preserve">Mon 7 Dec</t>
  </si>
  <si>
    <t xml:space="preserve">Thu 7 Jan</t>
  </si>
  <si>
    <t xml:space="preserve">Fri 5 Feb</t>
  </si>
  <si>
    <t xml:space="preserve">Fri 5 Mar</t>
  </si>
  <si>
    <t xml:space="preserve">Wed 7 Apr</t>
  </si>
  <si>
    <t xml:space="preserve">EMP201 for a payroll month is paid by the 7th of the following month. Nov pays the Oct payroll, and so on.</t>
  </si>
  <si>
    <t xml:space="preserve">VAT201 payment date (last business day of the month after the period ends, via eFiling)</t>
  </si>
  <si>
    <t xml:space="preserve">Fri 30 Oct</t>
  </si>
  <si>
    <t xml:space="preserve">Mon 30 Nov</t>
  </si>
  <si>
    <t xml:space="preserve">Thu 31 Dec</t>
  </si>
  <si>
    <t xml:space="preserve">Fri 29 Jan</t>
  </si>
  <si>
    <t xml:space="preserve">Fri 26 Feb</t>
  </si>
  <si>
    <t xml:space="preserve">Wed 31 Mar</t>
  </si>
  <si>
    <t xml:space="preserve">Fri 30 Apr</t>
  </si>
  <si>
    <t xml:space="preserve">A VAT return filed by the 25th and paid by the last business day of that month carries no late-payment penalty. Paid after that: 10% penalty plus interest (currently 10.25% p.a.).</t>
  </si>
  <si>
    <t xml:space="preserve">2. Safe Hub NPC - EMP201 (monthly)</t>
  </si>
  <si>
    <t xml:space="preserve">Reference (from SH NPC PAYE tab)</t>
  </si>
  <si>
    <t xml:space="preserve">Jul 2026</t>
  </si>
  <si>
    <t xml:space="preserve">Aug 2026</t>
  </si>
  <si>
    <t xml:space="preserve">Sep 2026</t>
  </si>
  <si>
    <t xml:space="preserve">Avg Jul-Sep</t>
  </si>
  <si>
    <t xml:space="preserve">   PAYE</t>
  </si>
  <si>
    <t xml:space="preserve">   SDL</t>
  </si>
  <si>
    <t xml:space="preserve">   UIF</t>
  </si>
  <si>
    <t xml:space="preserve">   ETI utilised</t>
  </si>
  <si>
    <t xml:space="preserve">   Net EMP201 paid</t>
  </si>
  <si>
    <t xml:space="preserve">PAYE per month used in forecast (R)</t>
  </si>
  <si>
    <t xml:space="preserve">Sep 2026 actual held flat. PAYE has risen every month since staff moved across from Amandla in July (R102k Jul, R144k Aug, R220k Sep). Sep is the latest actual and the most conservative for cash. Replace with the Oct payroll figure from SimplePay once run.</t>
  </si>
  <si>
    <t xml:space="preserve">SDL per month (R)</t>
  </si>
  <si>
    <t xml:space="preserve">Sep 2026 actual held flat.</t>
  </si>
  <si>
    <t xml:space="preserve">UIF per month (R)</t>
  </si>
  <si>
    <t xml:space="preserve">Sep 2026 actual held flat (UIF is capped per employee, so it moves little).</t>
  </si>
  <si>
    <t xml:space="preserve">ETI calculated per month (R)</t>
  </si>
  <si>
    <t xml:space="preserve">Sep 2026 actual held flat. Since Aug 2026 PAYE exceeds ETI, so the full ETI is used against PAYE each month and nothing more builds up with SARS.</t>
  </si>
  <si>
    <t xml:space="preserve">December payroll factor on PAYE (13th cheque / bonus month)</t>
  </si>
  <si>
    <t xml:space="preserve">Dec 2025 PAYE was 1.87x Nov 2025 (R82.6k vs R44.3k) because of the December bonus run. Applied to Dec 2026 PAYE (paid 7 Jan 2027). Set to 1.00 if no bonus is paid this year.</t>
  </si>
  <si>
    <t xml:space="preserve">ETI in December</t>
  </si>
  <si>
    <t xml:space="preserve">ETI is capped per employee, so the bonus month does not increase it. (1 = same ETI as other months.)</t>
  </si>
  <si>
    <t xml:space="preserve">3. Amandla Social Enterprises - EMP201 (monthly)</t>
  </si>
  <si>
    <t xml:space="preserve">Reference (from Amandla PAYE tab)</t>
  </si>
  <si>
    <t xml:space="preserve">Sep 2026 actual held flat (R606k). Jul-Sep average is R628k; PAYE has eased slightly since July as staff moved to Safe Hub NPC. Replace with the Oct payroll figure from SimplePay once run.</t>
  </si>
  <si>
    <t xml:space="preserve">Nil: Amandla is SDL-exempt (PBO).</t>
  </si>
  <si>
    <t xml:space="preserve">Sep 2026 actual held flat (R55.7k). Always fully used against PAYE, so Amandla never builds an ETI balance and gets no cash refund; the benefit is a lower EMP201 payment.</t>
  </si>
  <si>
    <t xml:space="preserve">Dec 2025 PAYE was 1.64x Nov 2025 (R868k vs R529k) because of the December bonus run. Applied to Dec 2026 PAYE (paid 7 Jan 2027). Set to 1.00 if no bonus is paid this year.</t>
  </si>
  <si>
    <t xml:space="preserve">4. Safe Hub NPC - ETI cash refund</t>
  </si>
  <si>
    <t xml:space="preserve">ETI balance owed by SARS for the Mar-Aug 2026 cycle (R)</t>
  </si>
  <si>
    <t xml:space="preserve">Per SARS statement of account 26 Oct 2026: ETI 202603 to 202608 = R505,106.68. Paid out in cash after the EMP501 reconciliation (due 31 Oct 2026) is filed and any verification is closed.</t>
  </si>
  <si>
    <t xml:space="preserve">Month the refund is expected (1 = Nov 2026 ... 6 = Apr 2027)</t>
  </si>
  <si>
    <t xml:space="preserve">Dec 2026, based on the last four cycles: Aug-24 cycle paid 12 Jan 2025, Feb-25 cycle paid 25 May 2025, Aug-25 cycle paid 10 Dec 2025, Feb-26 cycle paid 31 May 2026. Change to 3 to test a January receipt.</t>
  </si>
  <si>
    <t xml:space="preserve">Sep 2026-Feb 2027 cycle</t>
  </si>
  <si>
    <t xml:space="preserve">Nil expected. From Sep 2026 PAYE exceeds ETI, so the full ETI is used each month and no balance builds up. Any balance would only be paid ~June 2027, outside this horizon.</t>
  </si>
  <si>
    <t xml:space="preserve">5. Safe Hub NPC - VAT201 (bi-monthly, payable)</t>
  </si>
  <si>
    <t xml:space="preserve">Reference (from SH NPC VAT tab)</t>
  </si>
  <si>
    <t xml:space="preserve">Amount</t>
  </si>
  <si>
    <t xml:space="preserve">   Trailing average of last 3 returns (Mar-Apr, May-Jun, Jul-Aug 2026, incl. assessment)</t>
  </si>
  <si>
    <t xml:space="preserve">   Same period last year: Sep-Oct 2025 / Nov-Dec 2025 / Jan-Feb 2026</t>
  </si>
  <si>
    <t xml:space="preserve">   Xero: Sep-Oct 2026 return to date (26 Oct 2026)</t>
  </si>
  <si>
    <t xml:space="preserve">From the Xero VAT201 screen on 26 Oct 2026. The October month-end recharge to Amandla (cost recoveries) was not yet invoiced.</t>
  </si>
  <si>
    <t xml:space="preserve">   Output VAT on one month of recharges at the Sep 2026 level (15% x R1,292,174)</t>
  </si>
  <si>
    <t xml:space="preserve">Sep 2026 cost recoveries from related parties per the Xero P&amp;L. NPC VAT is essentially output VAT on the salary recharge to Amandla, with small inputs.</t>
  </si>
  <si>
    <t xml:space="preserve">Sep-Oct 2026 return (pay by 30 Nov 2026) (R)</t>
  </si>
  <si>
    <t xml:space="preserve">Xero to date plus the October recharge at the Sep level. Replace with the Xero figure once the Oct recharge is raised.</t>
  </si>
  <si>
    <t xml:space="preserve">Nov-Dec 2026 return (pay by 29 Jan 2027) (R)</t>
  </si>
  <si>
    <t xml:space="preserve">Trailing 3-return average (R408k). Last year the Nov-Dec return was only R96k, but the recharge has stepped up since July 2026 when staff moved into NPC, so the prior year is not representative.</t>
  </si>
  <si>
    <t xml:space="preserve">Jan-Feb 2027 return (pay by 31 Mar 2027) (R)</t>
  </si>
  <si>
    <t xml:space="preserve">Trailing 3-return average. Last year: R374k.</t>
  </si>
  <si>
    <t xml:space="preserve">Mar-Apr 2027 return</t>
  </si>
  <si>
    <t xml:space="preserve">Paid 31 May 2027, outside this horizon.</t>
  </si>
  <si>
    <t xml:space="preserve">6. Safe Hub Enterprises - VAT201 (bi-monthly, payable)</t>
  </si>
  <si>
    <t xml:space="preserve">Reference (from SH Enterprises VAT tab)</t>
  </si>
  <si>
    <t xml:space="preserve">   Trailing average of last 3 returns (Apr-May, Jun-Jul, Aug-Sep 2026 per SARS)</t>
  </si>
  <si>
    <t xml:space="preserve">   Same period last year: Oct-Nov 2025 / Dec-Jan 2026 / Feb-Mar 2026</t>
  </si>
  <si>
    <t xml:space="preserve">   Two years ago: Oct-Nov 2024 / Dec-Jan 2025 / Feb-Mar 2025</t>
  </si>
  <si>
    <t xml:space="preserve">   Xero: Oct-Nov 2026 return to date (26 Oct 2026)</t>
  </si>
  <si>
    <t xml:space="preserve">Aug-Sep 2026 return filed 26 Oct 2026, pay by 30 Oct 2026 (R)</t>
  </si>
  <si>
    <t xml:space="preserve">Per the SARS statement: return R191,492.58 filed 26 Oct 2026. NOTE: Xero shows this period finalised at R375,052.08. The two must be reconciled; if the SARS figure is understated a corrected return will raise the amount due.</t>
  </si>
  <si>
    <t xml:space="preserve">Late-payment penalty on the Aug-Sep return if NOT paid by 30 Oct 2026 (R)</t>
  </si>
  <si>
    <t xml:space="preserve">R19,149.26 (10%) shows on the statement because the return was filed after the 25th. It falls away if the payment is made through eFiling by Fri 30 Oct 2026.</t>
  </si>
  <si>
    <t xml:space="preserve">Will the Aug-Sep return be paid by 30 Oct 2026? (1 = yes, 0 = no)</t>
  </si>
  <si>
    <t xml:space="preserve">If 0, the penalty is added to the October outflow and interest of ~10.25% p.a. starts on 1 Nov.</t>
  </si>
  <si>
    <t xml:space="preserve">Oct-Nov 2026 return (pay by 31 Dec 2026) (R)</t>
  </si>
  <si>
    <t xml:space="preserve">Judgement: 15% of expected Oct-Nov income. Last year Oct-Nov was R1,144,828, but that included a once-off R3.0m services invoice in Oct 2025; the recurring part was ~R4.0m of funder tranches plus ~R0.5m services, giving ~R650k of output VAT. SHE VAT is 15% of invoiced grant and services income less small inputs, so this line moves 1:1 with the funder invoicing schedule. Confirm with Claudene which funder tranches will be invoiced in Oct-Nov.</t>
  </si>
  <si>
    <t xml:space="preserve">Dec-Jan 2027 return (pay by 26 Feb 2027) (R)</t>
  </si>
  <si>
    <t xml:space="preserve">Same period last year (R121,845). Dec-Jan has been the quiet period in both prior years (R70.5k in 2025).</t>
  </si>
  <si>
    <t xml:space="preserve">Feb-Mar 2027 return (pay by 30 Apr 2027) (R)</t>
  </si>
  <si>
    <t xml:space="preserve">Same period last year (R753,994). Two years ago: R494,930. Driven by Q1 funder tranches.</t>
  </si>
  <si>
    <t xml:space="preserve">7. Amandla Social Enterprises - VAT201 refunds (monthly)</t>
  </si>
  <si>
    <t xml:space="preserve">Reference (from Amandla VAT tab)</t>
  </si>
  <si>
    <t xml:space="preserve">   Trailing 6-month average refund (Apr-Sep 2026)</t>
  </si>
  <si>
    <t xml:space="preserve">   Trailing 3-month average refund (Jul-Sep 2026)</t>
  </si>
  <si>
    <t xml:space="preserve">   Same month last year: Oct / Nov / Dec 2025, Jan / Feb / Mar 2026</t>
  </si>
  <si>
    <t xml:space="preserve">   Xero: Oct 2026 refund to date (26 Oct 2026)</t>
  </si>
  <si>
    <t xml:space="preserve">October bookkeeping is not complete yet (the Xero P&amp;L shows only part of the month), so this will grow.</t>
  </si>
  <si>
    <t xml:space="preserve">Oct 2026 return (refund received ~Nov 2026) (R)</t>
  </si>
  <si>
    <t xml:space="preserve">Trailing 6-month average refund (R523k) held flat. Refunds track input VAT on programme spend, which has been rising (Jul-Sep average R610k). Same month last year is shown above as a cross-check.</t>
  </si>
  <si>
    <t xml:space="preserve">Nov 2026 return (refund ~Dec 2026) (R)</t>
  </si>
  <si>
    <t xml:space="preserve">Dec 2026 return (refund ~Jan 2027) (R)</t>
  </si>
  <si>
    <t xml:space="preserve">Jan 2027 return (refund ~Feb 2027) (R)</t>
  </si>
  <si>
    <t xml:space="preserve">Feb 2027 return (refund ~Mar 2027) (R)</t>
  </si>
  <si>
    <t xml:space="preserve">Mar 2027 return (refund ~Apr 2027) (R)</t>
  </si>
  <si>
    <t xml:space="preserve">Months of verification delay applied to refunds (0 = received in the month of filing)</t>
  </si>
  <si>
    <t xml:space="preserve">In the last 12 months 10 of 12 refunds were paid within a week of filing (filed ~25th, paid the same month). Two were held for verification and paid about 4 weeks later (Oct 2025 return paid 19 Jan 2026; Aug 2026 return paid 15 Oct 2026). Set to 1 to shift every refund one month later as a downside case.</t>
  </si>
  <si>
    <t xml:space="preserve">8. Items already settled or sitting on the accounts (not in the forecast)</t>
  </si>
  <si>
    <t xml:space="preserve">Amandla EMP201 Sep 2026 (R573,161.79) and Safe Hub NPC EMP201 Sep 2026 (R125,326.73) were both paid on 7 Oct 2026.</t>
  </si>
  <si>
    <t xml:space="preserve">Amandla EMP201 Aug 2026 was paid a month late on 7 Oct 2026 and cost R58,577 penalty plus R4,935 interest (paid 7 and 14 Oct).</t>
  </si>
  <si>
    <t xml:space="preserve">Amandla VAT refund for Sep 2026 (R598,538.79) was paid by SARS on 26 Oct 2026; Aug 2026 (R761,958.59) on 15 Oct 2026.</t>
  </si>
  <si>
    <t xml:space="preserve">Safe Hub NPC VAT Jul-Aug 2026 was paid on 7 Oct 2026 (late): R493,396 return plus R34,501 penalty and R2,946 interest.</t>
  </si>
  <si>
    <t xml:space="preserve">Amandla PAYE account carries an unallocated credit of R12,523.45 (credit journal 3 Aug 2026). It can be allocated against a future EMP201 or refunded; not counted here.</t>
  </si>
  <si>
    <t xml:space="preserve">All three entities: SARS closing balances are nil except Safe Hub Enterprises VAT (R210,641.84 incl. penalty) as at 26 Oct 2026.</t>
  </si>
  <si>
    <t xml:space="preserve">Risks, sensitivities and the cost of paying late</t>
  </si>
  <si>
    <t xml:space="preserve">Penalties and interest charged by SARS in the last 12 months (periods Oct 2025 to Sep 2026)</t>
  </si>
  <si>
    <t xml:space="preserve">Entity / tax</t>
  </si>
  <si>
    <t xml:space="preserve">Penalties</t>
  </si>
  <si>
    <t xml:space="preserve">Interest</t>
  </si>
  <si>
    <t xml:space="preserve">Total</t>
  </si>
  <si>
    <t xml:space="preserve">Periods affected</t>
  </si>
  <si>
    <t xml:space="preserve">Note</t>
  </si>
  <si>
    <t xml:space="preserve">Safe Hub NPC - VAT</t>
  </si>
  <si>
    <t xml:space="preserve">Oct 2025, Dec 2025, Feb 2026, Apr 2026, Jun 2026, Aug 2026</t>
  </si>
  <si>
    <t xml:space="preserve">Sep-Oct 2025 and Jul-Aug 2026 paid after the deadline; Mar-Apr 2026 had an additional assessment.</t>
  </si>
  <si>
    <t xml:space="preserve">Safe Hub NPC - PAYE</t>
  </si>
  <si>
    <t xml:space="preserve">Oct 2025, Nov 2025, Dec 2025, Jan 2026, Feb 2026, Mar 2026, Apr 2026, May 2026, Jun 2026, Jul 2026, Aug 2026, Sep 2026</t>
  </si>
  <si>
    <t xml:space="preserve">All paid on time in the last 12 months. Aug-Sep 2025 were paid late (Dec 2025) and cost R18.6k, just outside the window.</t>
  </si>
  <si>
    <t xml:space="preserve">Safe Hub Enterprises - VAT</t>
  </si>
  <si>
    <t xml:space="preserve">Nov 2025, Jan 2026, Mar 2026, May 2026, Jul 2026, Sep 2026</t>
  </si>
  <si>
    <t xml:space="preserve">Oct-Nov 2025 (R1.14m) was paid in six instalments from Feb to Jul 2026 and cost R162k. The R19.1k on Aug-Sep 2026 falls away if paid by 30 Oct.</t>
  </si>
  <si>
    <t xml:space="preserve">Amandla - PAYE</t>
  </si>
  <si>
    <t xml:space="preserve">Aug 2026 paid a month late (7 Oct). 2024-25 arrears were settled by SARS setting off VAT refunds; those penalties fall outside the window.</t>
  </si>
  <si>
    <t xml:space="preserve">Amandla - VAT</t>
  </si>
  <si>
    <t xml:space="preserve">Refund position; no penalties.</t>
  </si>
  <si>
    <t xml:space="preserve">Sensitivities and risks</t>
  </si>
  <si>
    <t xml:space="preserve">ETI refund timing</t>
  </si>
  <si>
    <t xml:space="preserve">R505,107 is in December. The last four cycle payouts landed 12 Jan 2025, 25 May 2025, 10 Dec 2025 and 31 May 2026. It needs the EMP501 (due 31 Oct 2026) filed and any verification answered. The ETI schedule sent on 2 Sep 2026 noted the payroll EMP501 shows R375,897 for the cycle against R505,107 on the SARS statement (May 2026 ETI of R148k vs R277k); if the EMP501 is filed at the payroll figure the refund drops by ~R129k.</t>
  </si>
  <si>
    <t xml:space="preserve">December bonus payroll</t>
  </si>
  <si>
    <t xml:space="preserve">Dec 2025 PAYE was 1.87x November at Safe Hub NPC and 1.64x at Amandla. The same factors are applied to Dec 2026 (paid 7 Jan 2027). If no bonus is paid, set the factors to 1.00 on the Assumptions tab: the January outflow falls by roughly R190k (NPC) and R390k (Amandla).</t>
  </si>
  <si>
    <t xml:space="preserve">Safe Hub NPC PAYE step-up</t>
  </si>
  <si>
    <t xml:space="preserve">PAYE went from R102k (Jul) to R144k (Aug) to R220k (Sep) as staff moved in from Amandla. September is held flat. If October settles lower, the EMP201 falls; if more staff move across it rises. Replace with the SimplePay figure once the Oct payroll is run.</t>
  </si>
  <si>
    <t xml:space="preserve">Amandla VAT refund verification</t>
  </si>
  <si>
    <t xml:space="preserve">10 of the last 12 refunds were paid within a week of filing. Two were held about 4 weeks (Oct 2025 return paid 19 Jan 2026; Aug 2026 return paid 15 Oct 2026). A held refund delays ~R520k by a month. The delay switch on Assumptions models this.</t>
  </si>
  <si>
    <t xml:space="preserve">Safe Hub Enterprises VAT</t>
  </si>
  <si>
    <t xml:space="preserve">Output VAT is 15% of invoiced funder tranches and services; inputs are small. Oct-Nov is the historically large period (R990k in 2024, R1.14m in 2025). The R650k used assumes the recurring tranches but not the once-off R3.0m services invoice of Oct 2025. Also reconcile the Aug-Sep return: SARS R191,492.58 vs Xero R375,052.08.</t>
  </si>
  <si>
    <t xml:space="preserve">Safe Hub NPC VAT</t>
  </si>
  <si>
    <t xml:space="preserve">The NPC return is output VAT on the salary recharge to Amandla. Because the recharge moved up when staff transferred in July 2026, the trailing 3-return average (R408k) is used rather than last year's Nov-Dec (R96k) and Jan-Feb (R374k).</t>
  </si>
  <si>
    <t xml:space="preserve">Annual increases</t>
  </si>
  <si>
    <t xml:space="preserve">No salary increase is modelled. Amandla's increase month is not visible in the history (PAYE moved mainly with headcount). Add a factor to the PAYE run-rates if increases are due in the horizon.</t>
  </si>
  <si>
    <t xml:space="preserve">Interest on late payment</t>
  </si>
  <si>
    <t xml:space="preserve">SARS interest is currently 10.25% p.a. plus a 10% once-off late-payment penalty. On a R600k EMP201 that is R60k the day it is late.</t>
  </si>
  <si>
    <t xml:space="preserve">Safe Hub NPC - EMP201 history (PAYE, SDL, UIF, ETI)</t>
  </si>
  <si>
    <t xml:space="preserve">Source: SARS EMPSOA statements of account, taxpayer ref 7920808948, issued 2026/10/26. Net EMP201 payable = PAYE + SDL + UIF - ETI utilised. Penalties/interest are what SARS raised for late payment.</t>
  </si>
  <si>
    <t xml:space="preserve">Tax period</t>
  </si>
  <si>
    <t xml:space="preserve">Payroll month</t>
  </si>
  <si>
    <t xml:space="preserve">PAYE</t>
  </si>
  <si>
    <t xml:space="preserve">SDL</t>
  </si>
  <si>
    <t xml:space="preserve">UIF</t>
  </si>
  <si>
    <t xml:space="preserve">ETI utilised</t>
  </si>
  <si>
    <t xml:space="preserve">Net EMP201 payable</t>
  </si>
  <si>
    <t xml:space="preserve">Penalty</t>
  </si>
  <si>
    <t xml:space="preserve">Cash paid (incl pen/int)</t>
  </si>
  <si>
    <t xml:space="preserve">Payment date(s)</t>
  </si>
  <si>
    <t xml:space="preserve">ETI calculated</t>
  </si>
  <si>
    <t xml:space="preserve">ETI carried forward (balance owed by SARS)</t>
  </si>
  <si>
    <t xml:space="preserve">202403</t>
  </si>
  <si>
    <t xml:space="preserve">Mar 2024</t>
  </si>
  <si>
    <t xml:space="preserve">2024/04/05</t>
  </si>
  <si>
    <t xml:space="preserve">202404</t>
  </si>
  <si>
    <t xml:space="preserve">Apr 2024</t>
  </si>
  <si>
    <t xml:space="preserve">settled by journal/credit</t>
  </si>
  <si>
    <t xml:space="preserve">202405</t>
  </si>
  <si>
    <t xml:space="preserve">May 2024</t>
  </si>
  <si>
    <t xml:space="preserve">2024/07/05</t>
  </si>
  <si>
    <t xml:space="preserve">202406</t>
  </si>
  <si>
    <t xml:space="preserve">Jun 2024</t>
  </si>
  <si>
    <t xml:space="preserve">202407</t>
  </si>
  <si>
    <t xml:space="preserve">Jul 2024</t>
  </si>
  <si>
    <t xml:space="preserve">2024/08/07</t>
  </si>
  <si>
    <t xml:space="preserve">202408</t>
  </si>
  <si>
    <t xml:space="preserve">Aug 2024</t>
  </si>
  <si>
    <t xml:space="preserve">2025/01/10</t>
  </si>
  <si>
    <t xml:space="preserve">202409</t>
  </si>
  <si>
    <t xml:space="preserve">Sep 2024</t>
  </si>
  <si>
    <t xml:space="preserve">202410</t>
  </si>
  <si>
    <t xml:space="preserve">Oct 2024</t>
  </si>
  <si>
    <t xml:space="preserve">202411</t>
  </si>
  <si>
    <t xml:space="preserve">Nov 2024</t>
  </si>
  <si>
    <t xml:space="preserve">2024/12/31, 2025/01/10</t>
  </si>
  <si>
    <t xml:space="preserve">202412</t>
  </si>
  <si>
    <t xml:space="preserve">Dec 2024</t>
  </si>
  <si>
    <t xml:space="preserve">2025/01/07</t>
  </si>
  <si>
    <t xml:space="preserve">202501</t>
  </si>
  <si>
    <t xml:space="preserve">Jan 2025</t>
  </si>
  <si>
    <t xml:space="preserve">2025/02/07</t>
  </si>
  <si>
    <t xml:space="preserve">202502</t>
  </si>
  <si>
    <t xml:space="preserve">Feb 2025</t>
  </si>
  <si>
    <t xml:space="preserve">2025/03/10, 2025/03/31</t>
  </si>
  <si>
    <t xml:space="preserve">202503</t>
  </si>
  <si>
    <t xml:space="preserve">Mar 2025</t>
  </si>
  <si>
    <t xml:space="preserve">2025/05/22</t>
  </si>
  <si>
    <t xml:space="preserve">202504</t>
  </si>
  <si>
    <t xml:space="preserve">Apr 2025</t>
  </si>
  <si>
    <t xml:space="preserve">2025/05/07</t>
  </si>
  <si>
    <t xml:space="preserve">202505</t>
  </si>
  <si>
    <t xml:space="preserve">May 2025</t>
  </si>
  <si>
    <t xml:space="preserve">2025/07/01</t>
  </si>
  <si>
    <t xml:space="preserve">202506</t>
  </si>
  <si>
    <t xml:space="preserve">Jun 2025</t>
  </si>
  <si>
    <t xml:space="preserve">2025/07/07</t>
  </si>
  <si>
    <t xml:space="preserve">202507</t>
  </si>
  <si>
    <t xml:space="preserve">Jul 2025</t>
  </si>
  <si>
    <t xml:space="preserve">2025/08/07</t>
  </si>
  <si>
    <t xml:space="preserve">202508</t>
  </si>
  <si>
    <t xml:space="preserve">Aug 2025</t>
  </si>
  <si>
    <t xml:space="preserve">2025/12/09</t>
  </si>
  <si>
    <t xml:space="preserve">202509</t>
  </si>
  <si>
    <t xml:space="preserve">Sep 2025</t>
  </si>
  <si>
    <t xml:space="preserve">202510</t>
  </si>
  <si>
    <t xml:space="preserve">Oct 2025</t>
  </si>
  <si>
    <t xml:space="preserve">2025/11/07</t>
  </si>
  <si>
    <t xml:space="preserve">202511</t>
  </si>
  <si>
    <t xml:space="preserve">Nov 2025</t>
  </si>
  <si>
    <t xml:space="preserve">2025/12/05</t>
  </si>
  <si>
    <t xml:space="preserve">202512</t>
  </si>
  <si>
    <t xml:space="preserve">Dec 2025</t>
  </si>
  <si>
    <t xml:space="preserve">2026/01/07</t>
  </si>
  <si>
    <t xml:space="preserve">202601</t>
  </si>
  <si>
    <t xml:space="preserve">Jan 2026</t>
  </si>
  <si>
    <t xml:space="preserve">2026/02/06</t>
  </si>
  <si>
    <t xml:space="preserve">202602</t>
  </si>
  <si>
    <t xml:space="preserve">Feb 2026</t>
  </si>
  <si>
    <t xml:space="preserve">2026/03/06</t>
  </si>
  <si>
    <t xml:space="preserve">202603</t>
  </si>
  <si>
    <t xml:space="preserve">Mar 2026</t>
  </si>
  <si>
    <t xml:space="preserve">2026/04/07</t>
  </si>
  <si>
    <t xml:space="preserve">202604</t>
  </si>
  <si>
    <t xml:space="preserve">Apr 2026</t>
  </si>
  <si>
    <t xml:space="preserve">2026/05/07</t>
  </si>
  <si>
    <t xml:space="preserve">202605</t>
  </si>
  <si>
    <t xml:space="preserve">May 2026</t>
  </si>
  <si>
    <t xml:space="preserve">2026/06/05</t>
  </si>
  <si>
    <t xml:space="preserve">202606</t>
  </si>
  <si>
    <t xml:space="preserve">Jun 2026</t>
  </si>
  <si>
    <t xml:space="preserve">2026/07/07</t>
  </si>
  <si>
    <t xml:space="preserve">202607</t>
  </si>
  <si>
    <t xml:space="preserve">2026/08/06</t>
  </si>
  <si>
    <t xml:space="preserve">202608</t>
  </si>
  <si>
    <t xml:space="preserve">202609</t>
  </si>
  <si>
    <t xml:space="preserve">2026/10/07</t>
  </si>
  <si>
    <t xml:space="preserve">ETI cash refunds paid by SARS (end of each 6-month cycle):</t>
  </si>
  <si>
    <t xml:space="preserve">2025/01/12</t>
  </si>
  <si>
    <t xml:space="preserve">cycle to Aug 2024</t>
  </si>
  <si>
    <t xml:space="preserve">2025/05/25</t>
  </si>
  <si>
    <t xml:space="preserve">cycle to Feb 2025</t>
  </si>
  <si>
    <t xml:space="preserve">2025/12/10</t>
  </si>
  <si>
    <t xml:space="preserve">cycle to Aug 2025</t>
  </si>
  <si>
    <t xml:space="preserve">2026/05/31</t>
  </si>
  <si>
    <t xml:space="preserve">cycle to Feb 2026</t>
  </si>
  <si>
    <t xml:space="preserve">Safe Hub NPC - VAT201 history (bi-monthly, periods ending Feb/Apr/Jun/Aug/Oct/Dec)</t>
  </si>
  <si>
    <t xml:space="preserve">Source: SARS VATSA statements of account issued 26 Oct 2026. Positive return = VAT payable. VX references are deferred payment arrangements with SARS.</t>
  </si>
  <si>
    <t xml:space="preserve">Tax period (end)</t>
  </si>
  <si>
    <t xml:space="preserve">Period</t>
  </si>
  <si>
    <t xml:space="preserve">Return: payable (+) / refund (-)</t>
  </si>
  <si>
    <t xml:space="preserve">Additional assessment</t>
  </si>
  <si>
    <t xml:space="preserve">Cash paid to SARS</t>
  </si>
  <si>
    <t xml:space="preserve">Refund received from SARS</t>
  </si>
  <si>
    <t xml:space="preserve">Set-off / journals</t>
  </si>
  <si>
    <t xml:space="preserve">Filed on</t>
  </si>
  <si>
    <t xml:space="preserve">Payment / refund date(s)</t>
  </si>
  <si>
    <t xml:space="preserve">Days from filing to cash</t>
  </si>
  <si>
    <t xml:space="preserve">Mar-Apr 2024</t>
  </si>
  <si>
    <t xml:space="preserve">2024/05/30</t>
  </si>
  <si>
    <t xml:space="preserve">2024/08/31, 2024/09/30, 2024/10/30, 2024/11/27, 2024/12/31, 2025/01/31, 2026/05/27</t>
  </si>
  <si>
    <t xml:space="preserve">May-Jun 2024</t>
  </si>
  <si>
    <t xml:space="preserve">2024/07/31</t>
  </si>
  <si>
    <t xml:space="preserve">2024/08/05</t>
  </si>
  <si>
    <t xml:space="preserve">Jul-Aug 2024</t>
  </si>
  <si>
    <t xml:space="preserve">2024/09/30</t>
  </si>
  <si>
    <t xml:space="preserve">2025/03/31, 2025/05/06</t>
  </si>
  <si>
    <t xml:space="preserve">Sep-Oct 2024</t>
  </si>
  <si>
    <t xml:space="preserve">2024/11/29</t>
  </si>
  <si>
    <t xml:space="preserve">2025/05/06, 2025/06/13</t>
  </si>
  <si>
    <t xml:space="preserve">Nov-Dec 2024</t>
  </si>
  <si>
    <t xml:space="preserve">2025/01/31</t>
  </si>
  <si>
    <t xml:space="preserve">2025/06/13</t>
  </si>
  <si>
    <t xml:space="preserve">Jan-Feb 2025</t>
  </si>
  <si>
    <t xml:space="preserve">2025/03/30</t>
  </si>
  <si>
    <t xml:space="preserve">2025/03/31</t>
  </si>
  <si>
    <t xml:space="preserve">Mar-Apr 2025</t>
  </si>
  <si>
    <t xml:space="preserve">2025/05/26</t>
  </si>
  <si>
    <t xml:space="preserve">2025/06/09, 2025/06/13</t>
  </si>
  <si>
    <t xml:space="preserve">May-Jun 2025</t>
  </si>
  <si>
    <t xml:space="preserve">2025/07/27</t>
  </si>
  <si>
    <t xml:space="preserve">2025/12/31, 2026/01/30, 2026/02/27, 2026/03/27</t>
  </si>
  <si>
    <t xml:space="preserve">Jul-Aug 2025</t>
  </si>
  <si>
    <t xml:space="preserve">2025/09/28</t>
  </si>
  <si>
    <t xml:space="preserve">2026/03/27, 2026/04/30</t>
  </si>
  <si>
    <t xml:space="preserve">Sep-Oct 2025</t>
  </si>
  <si>
    <t xml:space="preserve">2025/11/25</t>
  </si>
  <si>
    <t xml:space="preserve">2025/11/29, 2026/02/06</t>
  </si>
  <si>
    <t xml:space="preserve">Nov-Dec 2025</t>
  </si>
  <si>
    <t xml:space="preserve">2026/01/26</t>
  </si>
  <si>
    <t xml:space="preserve">2026/01/30</t>
  </si>
  <si>
    <t xml:space="preserve">Jan-Feb 2026</t>
  </si>
  <si>
    <t xml:space="preserve">2026/03/27</t>
  </si>
  <si>
    <t xml:space="preserve">Mar-Apr 2026</t>
  </si>
  <si>
    <t xml:space="preserve">2026/05/26</t>
  </si>
  <si>
    <t xml:space="preserve">2026/04/30, 2026/05/29, 2026/06/04</t>
  </si>
  <si>
    <t xml:space="preserve">May-Jun 2026</t>
  </si>
  <si>
    <t xml:space="preserve">2026/07/21</t>
  </si>
  <si>
    <t xml:space="preserve">2026/07/31</t>
  </si>
  <si>
    <t xml:space="preserve">Jul-Aug 2026</t>
  </si>
  <si>
    <t xml:space="preserve">2026/09/17</t>
  </si>
  <si>
    <t xml:space="preserve">Safe Hub Enterprises (Pty) Ltd - VAT201 history (bi-monthly, periods ending Jan/Mar/May/Jul/Sep/Nov)</t>
  </si>
  <si>
    <t xml:space="preserve">Source: SARS VATSA statements of account issued 26 Oct 2026. Positive return = VAT payable. No payroll in this entity.</t>
  </si>
  <si>
    <t xml:space="preserve">Feb-Mar 2024</t>
  </si>
  <si>
    <t xml:space="preserve">2024/04/29</t>
  </si>
  <si>
    <t xml:space="preserve">2024/06/27, 2024/06/30, 2024/07/31, 2024/08/30, 2024/09/30, 2024/10/30, 2024/11/27</t>
  </si>
  <si>
    <t xml:space="preserve">Apr-May 2024</t>
  </si>
  <si>
    <t xml:space="preserve">2024/06/28</t>
  </si>
  <si>
    <t xml:space="preserve">2024/06/30</t>
  </si>
  <si>
    <t xml:space="preserve">Jun-Jul 2024</t>
  </si>
  <si>
    <t xml:space="preserve">2024/08/30</t>
  </si>
  <si>
    <t xml:space="preserve">2024/09/16</t>
  </si>
  <si>
    <t xml:space="preserve">Aug-Sep 2024</t>
  </si>
  <si>
    <t xml:space="preserve">2024/10/29</t>
  </si>
  <si>
    <t xml:space="preserve">2024/12/10</t>
  </si>
  <si>
    <t xml:space="preserve">Oct-Nov 2024</t>
  </si>
  <si>
    <t xml:space="preserve">2024/12/31</t>
  </si>
  <si>
    <t xml:space="preserve">2025/03/31, 2025/05/06, 2025/06/03, 2025/06/25, 2025/07/31, 2025/08/13, 2025/09/30</t>
  </si>
  <si>
    <t xml:space="preserve">Dec 2024-Jan 2025</t>
  </si>
  <si>
    <t xml:space="preserve">2025/02/28</t>
  </si>
  <si>
    <t xml:space="preserve">Feb-Mar 2025</t>
  </si>
  <si>
    <t xml:space="preserve">2025/04/25</t>
  </si>
  <si>
    <t xml:space="preserve">Apr-May 2025</t>
  </si>
  <si>
    <t xml:space="preserve">2025/06/27</t>
  </si>
  <si>
    <t xml:space="preserve">2025/08/01, 2025/09/30, 2025/10/31, 2025/12/02, 2025/12/31, 2026/01/30</t>
  </si>
  <si>
    <t xml:space="preserve">Jun-Jul 2025</t>
  </si>
  <si>
    <t xml:space="preserve">2025/08/15</t>
  </si>
  <si>
    <t xml:space="preserve">2026/01/30, 2026/02/06</t>
  </si>
  <si>
    <t xml:space="preserve">Aug-Sep 2025</t>
  </si>
  <si>
    <t xml:space="preserve">2025/10/28</t>
  </si>
  <si>
    <t xml:space="preserve">2025/10/31</t>
  </si>
  <si>
    <t xml:space="preserve">Oct-Nov 2025</t>
  </si>
  <si>
    <t xml:space="preserve">2025/12/22</t>
  </si>
  <si>
    <t xml:space="preserve">2026/02/27, 2026/03/27, 2026/04/30, 2026/05/29, 2026/06/26, 2026/07/31</t>
  </si>
  <si>
    <t xml:space="preserve">Dec 2025-Jan 2026</t>
  </si>
  <si>
    <t xml:space="preserve">2026/02/24</t>
  </si>
  <si>
    <t xml:space="preserve">2026/02/27</t>
  </si>
  <si>
    <t xml:space="preserve">Feb-Mar 2026</t>
  </si>
  <si>
    <t xml:space="preserve">2026/04/23</t>
  </si>
  <si>
    <t xml:space="preserve">2026/04/30</t>
  </si>
  <si>
    <t xml:space="preserve">Apr-May 2026</t>
  </si>
  <si>
    <t xml:space="preserve">2026/06/23</t>
  </si>
  <si>
    <t xml:space="preserve">2026/06/26</t>
  </si>
  <si>
    <t xml:space="preserve">Jun-Jul 2026</t>
  </si>
  <si>
    <t xml:space="preserve">2026/08/19</t>
  </si>
  <si>
    <t xml:space="preserve">2026/07/31, 2026/08/31, 2026/09/08</t>
  </si>
  <si>
    <t xml:space="preserve">Aug-Sep 2026</t>
  </si>
  <si>
    <t xml:space="preserve">2026/10/26</t>
  </si>
  <si>
    <t xml:space="preserve">Amandla Social Enterprises - EMP201 history (PAYE, UIF, ETI; no SDL)</t>
  </si>
  <si>
    <t xml:space="preserve">Source: SARS EMPSOA statements of account, taxpayer ref 7260776309, issued 2026/10/26. Net EMP201 payable = PAYE + SDL + UIF - ETI utilised. Penalties/interest are what SARS raised for late payment.</t>
  </si>
  <si>
    <t xml:space="preserve">2024/08/31, 2024/09/30, 2024/10/30</t>
  </si>
  <si>
    <t xml:space="preserve">2024/10/30, 2024/11/27, 2024/12/18, 2025/01/31</t>
  </si>
  <si>
    <t xml:space="preserve">2025/05/06, 2025/06/25</t>
  </si>
  <si>
    <t xml:space="preserve">2025/06/25, 2025/07/31</t>
  </si>
  <si>
    <t xml:space="preserve">2025/07/31, 2025/08/29, 2025/12/31</t>
  </si>
  <si>
    <t xml:space="preserve">2025/08/29, 2025/12/31, 2026/01/30</t>
  </si>
  <si>
    <t xml:space="preserve">2026/01/30, 2026/02/27</t>
  </si>
  <si>
    <t xml:space="preserve">2026/02/27, 2026/03/27</t>
  </si>
  <si>
    <t xml:space="preserve">2026/04/30, 2026/05/29</t>
  </si>
  <si>
    <t xml:space="preserve">2025/10/20</t>
  </si>
  <si>
    <t xml:space="preserve">2025/12/03</t>
  </si>
  <si>
    <t xml:space="preserve">2026/06/04</t>
  </si>
  <si>
    <t xml:space="preserve">2026/10/07, 2026/10/14</t>
  </si>
  <si>
    <t xml:space="preserve">Amandla Social Enterprises - VAT201 history (monthly, refund position)</t>
  </si>
  <si>
    <t xml:space="preserve">Source: SARS VATSA statements of account issued 26 Oct 2026. Negative return = refund due to Amandla. "Set-off / journals" = refunds SARS applied against PAYE arrears (debt equalisation) in 2024-25 instead of paying cash.</t>
  </si>
  <si>
    <t xml:space="preserve">2024/08/01</t>
  </si>
  <si>
    <t xml:space="preserve">2024/08/29</t>
  </si>
  <si>
    <t xml:space="preserve">2024/09/10</t>
  </si>
  <si>
    <t xml:space="preserve">2024/10/23</t>
  </si>
  <si>
    <t xml:space="preserve">2024/11/12</t>
  </si>
  <si>
    <t xml:space="preserve">2025/03/12</t>
  </si>
  <si>
    <t xml:space="preserve">2025/04/29</t>
  </si>
  <si>
    <t xml:space="preserve">2025/05/28</t>
  </si>
  <si>
    <t xml:space="preserve">2025/06/30</t>
  </si>
  <si>
    <t xml:space="preserve">2025/07/28</t>
  </si>
  <si>
    <t xml:space="preserve">2025/08/26</t>
  </si>
  <si>
    <t xml:space="preserve">2025/09/29</t>
  </si>
  <si>
    <t xml:space="preserve">2025/10/27</t>
  </si>
  <si>
    <t xml:space="preserve">2026/01/19</t>
  </si>
  <si>
    <t xml:space="preserve">2025/12/19</t>
  </si>
  <si>
    <t xml:space="preserve">2025/12/21</t>
  </si>
  <si>
    <t xml:space="preserve">2026/01/27</t>
  </si>
  <si>
    <t xml:space="preserve">2026/04/01</t>
  </si>
  <si>
    <t xml:space="preserve">2026/08/18</t>
  </si>
  <si>
    <t xml:space="preserve">2026/10/15</t>
  </si>
</sst>
</file>

<file path=xl/styles.xml><?xml version="1.0" encoding="utf-8"?>
<styleSheet xmlns="http://schemas.openxmlformats.org/spreadsheetml/2006/main">
  <numFmts count="5">
    <numFmt numFmtId="164" formatCode="General"/>
    <numFmt numFmtId="165" formatCode="#,##0;\(#,##0\);\-"/>
    <numFmt numFmtId="166" formatCode="0.00\x"/>
    <numFmt numFmtId="167" formatCode="0"/>
    <numFmt numFmtId="168" formatCode="#,##0.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1F2"/>
        <bgColor rgb="FFF2F2F2"/>
      </patternFill>
    </fill>
    <fill>
      <patternFill patternType="solid">
        <fgColor rgb="FFF2F2F2"/>
        <bgColor rgb="FFFF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10" fillId="5"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0"/>
    <col collapsed="false" customWidth="true" hidden="false" outlineLevel="0" max="9" min="3" style="0" width="15"/>
    <col collapsed="false" customWidth="true" hidden="false" outlineLevel="0" max="10" min="10" style="0" width="16"/>
    <col collapsed="false" customWidth="true" hidden="false" outlineLevel="0" max="11" min="11" style="0" width="56"/>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15" hidden="false" customHeight="false" outlineLevel="0" collapsed="false">
      <c r="A5" s="4" t="s">
        <v>13</v>
      </c>
      <c r="B5" s="5"/>
      <c r="C5" s="5"/>
      <c r="D5" s="5"/>
      <c r="E5" s="5"/>
      <c r="F5" s="5"/>
      <c r="G5" s="5"/>
      <c r="H5" s="5"/>
      <c r="I5" s="5"/>
      <c r="J5" s="5"/>
      <c r="K5" s="5"/>
    </row>
    <row r="6" customFormat="false" ht="30" hidden="false" customHeight="true" outlineLevel="0" collapsed="false">
      <c r="A6" s="6" t="s">
        <v>14</v>
      </c>
      <c r="B6" s="7" t="s">
        <v>15</v>
      </c>
      <c r="C6" s="8" t="n">
        <v>0</v>
      </c>
      <c r="D6" s="8" t="n">
        <f aca="false">Assumptions!$B$16+Assumptions!$B$17+Assumptions!$B$18-Assumptions!$B$19</f>
        <v>125326.73</v>
      </c>
      <c r="E6" s="8" t="n">
        <f aca="false">Assumptions!$B$16+Assumptions!$B$17+Assumptions!$B$18-Assumptions!$B$19</f>
        <v>125326.73</v>
      </c>
      <c r="F6" s="8" t="n">
        <f aca="false">Assumptions!$B$16*Assumptions!$B$20+Assumptions!$B$17+Assumptions!$B$18-Assumptions!$B$19</f>
        <v>315845.148087135</v>
      </c>
      <c r="G6" s="8" t="n">
        <f aca="false">Assumptions!$B$16+Assumptions!$B$17+Assumptions!$B$18-Assumptions!$B$19</f>
        <v>125326.73</v>
      </c>
      <c r="H6" s="8" t="n">
        <f aca="false">Assumptions!$B$16+Assumptions!$B$17+Assumptions!$B$18-Assumptions!$B$19</f>
        <v>125326.73</v>
      </c>
      <c r="I6" s="8" t="n">
        <f aca="false">Assumptions!$B$16+Assumptions!$B$17+Assumptions!$B$18-Assumptions!$B$19</f>
        <v>125326.73</v>
      </c>
      <c r="J6" s="8" t="n">
        <f aca="false">SUM(D6:I6)</f>
        <v>942478.798087135</v>
      </c>
      <c r="K6" s="7" t="s">
        <v>16</v>
      </c>
    </row>
    <row r="7" customFormat="false" ht="30" hidden="false" customHeight="true" outlineLevel="0" collapsed="false">
      <c r="A7" s="6" t="s">
        <v>17</v>
      </c>
      <c r="B7" s="7" t="s">
        <v>18</v>
      </c>
      <c r="C7" s="8" t="n">
        <v>0</v>
      </c>
      <c r="D7" s="8" t="n">
        <f aca="false">IF(Assumptions!$B$39=1,-Assumptions!$B$38,0)</f>
        <v>0</v>
      </c>
      <c r="E7" s="8" t="n">
        <f aca="false">IF(Assumptions!$B$39=2,-Assumptions!$B$38,0)</f>
        <v>-505106.68</v>
      </c>
      <c r="F7" s="8" t="n">
        <f aca="false">IF(Assumptions!$B$39=3,-Assumptions!$B$38,0)</f>
        <v>0</v>
      </c>
      <c r="G7" s="8" t="n">
        <f aca="false">IF(Assumptions!$B$39=4,-Assumptions!$B$38,0)</f>
        <v>0</v>
      </c>
      <c r="H7" s="8" t="n">
        <f aca="false">IF(Assumptions!$B$39=5,-Assumptions!$B$38,0)</f>
        <v>0</v>
      </c>
      <c r="I7" s="8" t="n">
        <f aca="false">IF(Assumptions!$B$39=6,-Assumptions!$B$38,0)</f>
        <v>0</v>
      </c>
      <c r="J7" s="8" t="n">
        <f aca="false">SUM(D7:I7)</f>
        <v>-505106.68</v>
      </c>
      <c r="K7" s="7" t="s">
        <v>19</v>
      </c>
    </row>
    <row r="8" customFormat="false" ht="30" hidden="false" customHeight="true" outlineLevel="0" collapsed="false">
      <c r="A8" s="6" t="s">
        <v>20</v>
      </c>
      <c r="B8" s="7" t="s">
        <v>21</v>
      </c>
      <c r="C8" s="8" t="n">
        <v>0</v>
      </c>
      <c r="D8" s="8" t="n">
        <f aca="false">Assumptions!$B$49</f>
        <v>461743.84</v>
      </c>
      <c r="E8" s="8" t="n">
        <v>0</v>
      </c>
      <c r="F8" s="8" t="n">
        <f aca="false">Assumptions!$B$50</f>
        <v>407750.933333333</v>
      </c>
      <c r="G8" s="8" t="n">
        <v>0</v>
      </c>
      <c r="H8" s="8" t="n">
        <f aca="false">Assumptions!$B$51</f>
        <v>407750.933333333</v>
      </c>
      <c r="I8" s="8" t="n">
        <v>0</v>
      </c>
      <c r="J8" s="8" t="n">
        <f aca="false">SUM(D8:I8)</f>
        <v>1277245.70666667</v>
      </c>
      <c r="K8" s="7" t="s">
        <v>22</v>
      </c>
    </row>
    <row r="9" customFormat="false" ht="30" hidden="false" customHeight="true" outlineLevel="0" collapsed="false">
      <c r="A9" s="9" t="s">
        <v>23</v>
      </c>
      <c r="B9" s="10"/>
      <c r="C9" s="11" t="n">
        <f aca="false">SUM(C6:C8)</f>
        <v>0</v>
      </c>
      <c r="D9" s="11" t="n">
        <f aca="false">SUM(D6:D8)</f>
        <v>587070.57</v>
      </c>
      <c r="E9" s="11" t="n">
        <f aca="false">SUM(E6:E8)</f>
        <v>-379779.95</v>
      </c>
      <c r="F9" s="11" t="n">
        <f aca="false">SUM(F6:F8)</f>
        <v>723596.081420469</v>
      </c>
      <c r="G9" s="11" t="n">
        <f aca="false">SUM(G6:G8)</f>
        <v>125326.73</v>
      </c>
      <c r="H9" s="11" t="n">
        <f aca="false">SUM(H6:H8)</f>
        <v>533077.663333333</v>
      </c>
      <c r="I9" s="11" t="n">
        <f aca="false">SUM(I6:I8)</f>
        <v>125326.73</v>
      </c>
      <c r="J9" s="11" t="n">
        <f aca="false">SUM(D9:I9)</f>
        <v>1714617.8247538</v>
      </c>
      <c r="K9" s="10"/>
    </row>
    <row r="11" customFormat="false" ht="15" hidden="false" customHeight="false" outlineLevel="0" collapsed="false">
      <c r="A11" s="4" t="s">
        <v>24</v>
      </c>
      <c r="B11" s="5"/>
      <c r="C11" s="5"/>
      <c r="D11" s="5"/>
      <c r="E11" s="5"/>
      <c r="F11" s="5"/>
      <c r="G11" s="5"/>
      <c r="H11" s="5"/>
      <c r="I11" s="5"/>
      <c r="J11" s="5"/>
      <c r="K11" s="5"/>
    </row>
    <row r="12" customFormat="false" ht="30" hidden="false" customHeight="true" outlineLevel="0" collapsed="false">
      <c r="A12" s="6" t="s">
        <v>25</v>
      </c>
      <c r="B12" s="7" t="s">
        <v>26</v>
      </c>
      <c r="C12" s="8" t="n">
        <f aca="false">Assumptions!$B$61</f>
        <v>191492.58</v>
      </c>
      <c r="D12" s="8" t="n">
        <v>0</v>
      </c>
      <c r="E12" s="8" t="n">
        <v>0</v>
      </c>
      <c r="F12" s="8" t="n">
        <v>0</v>
      </c>
      <c r="G12" s="8" t="n">
        <v>0</v>
      </c>
      <c r="H12" s="8" t="n">
        <v>0</v>
      </c>
      <c r="I12" s="8" t="n">
        <v>0</v>
      </c>
      <c r="J12" s="8" t="n">
        <f aca="false">SUM(D12:I12)</f>
        <v>0</v>
      </c>
      <c r="K12" s="7" t="s">
        <v>27</v>
      </c>
    </row>
    <row r="13" customFormat="false" ht="30" hidden="false" customHeight="true" outlineLevel="0" collapsed="false">
      <c r="A13" s="6" t="s">
        <v>28</v>
      </c>
      <c r="B13" s="7" t="s">
        <v>29</v>
      </c>
      <c r="C13" s="8" t="n">
        <f aca="false">IF(Assumptions!$B$63=1,0,Assumptions!$B$62)</f>
        <v>0</v>
      </c>
      <c r="D13" s="8" t="n">
        <v>0</v>
      </c>
      <c r="E13" s="8" t="n">
        <v>0</v>
      </c>
      <c r="F13" s="8" t="n">
        <v>0</v>
      </c>
      <c r="G13" s="8" t="n">
        <v>0</v>
      </c>
      <c r="H13" s="8" t="n">
        <v>0</v>
      </c>
      <c r="I13" s="8" t="n">
        <v>0</v>
      </c>
      <c r="J13" s="8" t="n">
        <f aca="false">SUM(D13:I13)</f>
        <v>0</v>
      </c>
      <c r="K13" s="7" t="s">
        <v>30</v>
      </c>
    </row>
    <row r="14" customFormat="false" ht="30" hidden="false" customHeight="true" outlineLevel="0" collapsed="false">
      <c r="A14" s="6" t="s">
        <v>31</v>
      </c>
      <c r="B14" s="7" t="s">
        <v>32</v>
      </c>
      <c r="C14" s="8" t="n">
        <v>0</v>
      </c>
      <c r="D14" s="8" t="n">
        <v>0</v>
      </c>
      <c r="E14" s="8" t="n">
        <f aca="false">Assumptions!$B$64</f>
        <v>650000</v>
      </c>
      <c r="F14" s="8" t="n">
        <v>0</v>
      </c>
      <c r="G14" s="8" t="n">
        <f aca="false">Assumptions!$B$65</f>
        <v>121844.86</v>
      </c>
      <c r="H14" s="8" t="n">
        <v>0</v>
      </c>
      <c r="I14" s="8" t="n">
        <f aca="false">Assumptions!$B$66</f>
        <v>753994.26</v>
      </c>
      <c r="J14" s="8" t="n">
        <f aca="false">SUM(D14:I14)</f>
        <v>1525839.12</v>
      </c>
      <c r="K14" s="7" t="s">
        <v>33</v>
      </c>
    </row>
    <row r="15" customFormat="false" ht="30" hidden="false" customHeight="true" outlineLevel="0" collapsed="false">
      <c r="A15" s="9" t="s">
        <v>34</v>
      </c>
      <c r="B15" s="10"/>
      <c r="C15" s="11" t="n">
        <f aca="false">SUM(C12:C14)</f>
        <v>191492.58</v>
      </c>
      <c r="D15" s="11" t="n">
        <f aca="false">SUM(D12:D14)</f>
        <v>0</v>
      </c>
      <c r="E15" s="11" t="n">
        <f aca="false">SUM(E12:E14)</f>
        <v>650000</v>
      </c>
      <c r="F15" s="11" t="n">
        <f aca="false">SUM(F12:F14)</f>
        <v>0</v>
      </c>
      <c r="G15" s="11" t="n">
        <f aca="false">SUM(G12:G14)</f>
        <v>121844.86</v>
      </c>
      <c r="H15" s="11" t="n">
        <f aca="false">SUM(H12:H14)</f>
        <v>0</v>
      </c>
      <c r="I15" s="11" t="n">
        <f aca="false">SUM(I12:I14)</f>
        <v>753994.26</v>
      </c>
      <c r="J15" s="11" t="n">
        <f aca="false">SUM(D15:I15)</f>
        <v>1525839.12</v>
      </c>
      <c r="K15" s="10"/>
    </row>
    <row r="17" customFormat="false" ht="15" hidden="false" customHeight="false" outlineLevel="0" collapsed="false">
      <c r="A17" s="4" t="s">
        <v>35</v>
      </c>
      <c r="B17" s="5"/>
      <c r="C17" s="5"/>
      <c r="D17" s="5"/>
      <c r="E17" s="5"/>
      <c r="F17" s="5"/>
      <c r="G17" s="5"/>
      <c r="H17" s="5"/>
      <c r="I17" s="5"/>
      <c r="J17" s="5"/>
      <c r="K17" s="5"/>
    </row>
    <row r="18" customFormat="false" ht="30" hidden="false" customHeight="true" outlineLevel="0" collapsed="false">
      <c r="A18" s="6" t="s">
        <v>36</v>
      </c>
      <c r="B18" s="7" t="s">
        <v>15</v>
      </c>
      <c r="C18" s="8" t="n">
        <v>0</v>
      </c>
      <c r="D18" s="8" t="n">
        <f aca="false">Assumptions!$B$31+Assumptions!$B$32+Assumptions!$B$33-Assumptions!$B$34</f>
        <v>573161.79</v>
      </c>
      <c r="E18" s="8" t="n">
        <f aca="false">Assumptions!$B$31+Assumptions!$B$32+Assumptions!$B$33-Assumptions!$B$34</f>
        <v>573161.79</v>
      </c>
      <c r="F18" s="8" t="n">
        <f aca="false">Assumptions!$B$31*Assumptions!$B$35+Assumptions!$B$32+Assumptions!$B$33-Assumptions!$B$34</f>
        <v>961631.547427284</v>
      </c>
      <c r="G18" s="8" t="n">
        <f aca="false">Assumptions!$B$31+Assumptions!$B$32+Assumptions!$B$33-Assumptions!$B$34</f>
        <v>573161.79</v>
      </c>
      <c r="H18" s="8" t="n">
        <f aca="false">Assumptions!$B$31+Assumptions!$B$32+Assumptions!$B$33-Assumptions!$B$34</f>
        <v>573161.79</v>
      </c>
      <c r="I18" s="8" t="n">
        <f aca="false">Assumptions!$B$31+Assumptions!$B$32+Assumptions!$B$33-Assumptions!$B$34</f>
        <v>573161.79</v>
      </c>
      <c r="J18" s="8" t="n">
        <f aca="false">SUM(D18:I18)</f>
        <v>3827440.49742728</v>
      </c>
      <c r="K18" s="7" t="s">
        <v>37</v>
      </c>
    </row>
    <row r="19" customFormat="false" ht="30" hidden="false" customHeight="true" outlineLevel="0" collapsed="false">
      <c r="A19" s="6" t="s">
        <v>38</v>
      </c>
      <c r="B19" s="7" t="s">
        <v>39</v>
      </c>
      <c r="C19" s="8" t="n">
        <v>0</v>
      </c>
      <c r="D19" s="8" t="n">
        <f aca="false">-IF(Assumptions!$B$81=0,Assumptions!$B$75,IF(1-Assumptions!$B$81&gt;=1,INDEX(Assumptions!$B:$B,ROW(Assumptions!$B$75)+1-1-Assumptions!$B$81),0))</f>
        <v>-522963.63</v>
      </c>
      <c r="E19" s="8" t="n">
        <f aca="false">-IF(Assumptions!$B$81=0,Assumptions!$B$76,IF(2-Assumptions!$B$81&gt;=1,INDEX(Assumptions!$B:$B,ROW(Assumptions!$B$75)+2-1-Assumptions!$B$81),0))</f>
        <v>-522963.63</v>
      </c>
      <c r="F19" s="8" t="n">
        <f aca="false">-IF(Assumptions!$B$81=0,Assumptions!$B$77,IF(3-Assumptions!$B$81&gt;=1,INDEX(Assumptions!$B:$B,ROW(Assumptions!$B$75)+3-1-Assumptions!$B$81),0))</f>
        <v>-522963.63</v>
      </c>
      <c r="G19" s="8" t="n">
        <f aca="false">-IF(Assumptions!$B$81=0,Assumptions!$B$78,IF(4-Assumptions!$B$81&gt;=1,INDEX(Assumptions!$B:$B,ROW(Assumptions!$B$75)+4-1-Assumptions!$B$81),0))</f>
        <v>-522963.63</v>
      </c>
      <c r="H19" s="8" t="n">
        <f aca="false">-IF(Assumptions!$B$81=0,Assumptions!$B$79,IF(5-Assumptions!$B$81&gt;=1,INDEX(Assumptions!$B:$B,ROW(Assumptions!$B$75)+5-1-Assumptions!$B$81),0))</f>
        <v>-522963.63</v>
      </c>
      <c r="I19" s="8" t="n">
        <f aca="false">-IF(Assumptions!$B$81=0,Assumptions!$B$80,IF(6-Assumptions!$B$81&gt;=1,INDEX(Assumptions!$B:$B,ROW(Assumptions!$B$75)+6-1-Assumptions!$B$81),0))</f>
        <v>-522963.63</v>
      </c>
      <c r="J19" s="8" t="n">
        <f aca="false">SUM(D19:I19)</f>
        <v>-3137781.78</v>
      </c>
      <c r="K19" s="7" t="s">
        <v>40</v>
      </c>
    </row>
    <row r="20" customFormat="false" ht="30" hidden="false" customHeight="true" outlineLevel="0" collapsed="false">
      <c r="A20" s="9" t="s">
        <v>41</v>
      </c>
      <c r="B20" s="10"/>
      <c r="C20" s="11" t="n">
        <f aca="false">SUM(C18:C19)</f>
        <v>0</v>
      </c>
      <c r="D20" s="11" t="n">
        <f aca="false">SUM(D18:D19)</f>
        <v>50198.16</v>
      </c>
      <c r="E20" s="11" t="n">
        <f aca="false">SUM(E18:E19)</f>
        <v>50198.16</v>
      </c>
      <c r="F20" s="11" t="n">
        <f aca="false">SUM(F18:F19)</f>
        <v>438667.917427284</v>
      </c>
      <c r="G20" s="11" t="n">
        <f aca="false">SUM(G18:G19)</f>
        <v>50198.16</v>
      </c>
      <c r="H20" s="11" t="n">
        <f aca="false">SUM(H18:H19)</f>
        <v>50198.16</v>
      </c>
      <c r="I20" s="11" t="n">
        <f aca="false">SUM(I18:I19)</f>
        <v>50198.16</v>
      </c>
      <c r="J20" s="11" t="n">
        <f aca="false">SUM(D20:I20)</f>
        <v>689658.717427284</v>
      </c>
      <c r="K20" s="10"/>
    </row>
    <row r="22" customFormat="false" ht="15" hidden="false" customHeight="false" outlineLevel="0" collapsed="false">
      <c r="A22" s="4" t="s">
        <v>42</v>
      </c>
      <c r="B22" s="5"/>
      <c r="C22" s="5"/>
      <c r="D22" s="5"/>
      <c r="E22" s="5"/>
      <c r="F22" s="5"/>
      <c r="G22" s="5"/>
      <c r="H22" s="5"/>
      <c r="I22" s="5"/>
      <c r="J22" s="5"/>
      <c r="K22" s="5"/>
    </row>
    <row r="23" customFormat="false" ht="30" hidden="false" customHeight="true" outlineLevel="0" collapsed="false">
      <c r="A23" s="6" t="s">
        <v>43</v>
      </c>
      <c r="B23" s="7"/>
      <c r="C23" s="8" t="n">
        <f aca="false">SUMIF(C6:C8,"&gt;0")+SUMIF(C12:C14,"&gt;0")+SUMIF(C18:C19,"&gt;0")</f>
        <v>191492.58</v>
      </c>
      <c r="D23" s="8" t="n">
        <f aca="false">SUMIF(D6:D8,"&gt;0")+SUMIF(D12:D14,"&gt;0")+SUMIF(D18:D19,"&gt;0")</f>
        <v>1160232.36</v>
      </c>
      <c r="E23" s="8" t="n">
        <f aca="false">SUMIF(E6:E8,"&gt;0")+SUMIF(E12:E14,"&gt;0")+SUMIF(E18:E19,"&gt;0")</f>
        <v>1348488.52</v>
      </c>
      <c r="F23" s="8" t="n">
        <f aca="false">SUMIF(F6:F8,"&gt;0")+SUMIF(F12:F14,"&gt;0")+SUMIF(F18:F19,"&gt;0")</f>
        <v>1685227.62884775</v>
      </c>
      <c r="G23" s="8" t="n">
        <f aca="false">SUMIF(G6:G8,"&gt;0")+SUMIF(G12:G14,"&gt;0")+SUMIF(G18:G19,"&gt;0")</f>
        <v>820333.38</v>
      </c>
      <c r="H23" s="8" t="n">
        <f aca="false">SUMIF(H6:H8,"&gt;0")+SUMIF(H12:H14,"&gt;0")+SUMIF(H18:H19,"&gt;0")</f>
        <v>1106239.45333333</v>
      </c>
      <c r="I23" s="8" t="n">
        <f aca="false">SUMIF(I6:I8,"&gt;0")+SUMIF(I12:I14,"&gt;0")+SUMIF(I18:I19,"&gt;0")</f>
        <v>1452482.78</v>
      </c>
      <c r="J23" s="8" t="n">
        <f aca="false">SUM(D23:I23)</f>
        <v>7573004.12218109</v>
      </c>
      <c r="K23" s="7" t="s">
        <v>44</v>
      </c>
    </row>
    <row r="24" customFormat="false" ht="30" hidden="false" customHeight="true" outlineLevel="0" collapsed="false">
      <c r="A24" s="6" t="s">
        <v>45</v>
      </c>
      <c r="B24" s="7"/>
      <c r="C24" s="8" t="n">
        <f aca="false">SUMIF(C6:C8,"&lt;0")+SUMIF(C12:C14,"&lt;0")+SUMIF(C18:C19,"&lt;0")</f>
        <v>0</v>
      </c>
      <c r="D24" s="8" t="n">
        <f aca="false">SUMIF(D6:D8,"&lt;0")+SUMIF(D12:D14,"&lt;0")+SUMIF(D18:D19,"&lt;0")</f>
        <v>-522963.63</v>
      </c>
      <c r="E24" s="8" t="n">
        <f aca="false">SUMIF(E6:E8,"&lt;0")+SUMIF(E12:E14,"&lt;0")+SUMIF(E18:E19,"&lt;0")</f>
        <v>-1028070.31</v>
      </c>
      <c r="F24" s="8" t="n">
        <f aca="false">SUMIF(F6:F8,"&lt;0")+SUMIF(F12:F14,"&lt;0")+SUMIF(F18:F19,"&lt;0")</f>
        <v>-522963.63</v>
      </c>
      <c r="G24" s="8" t="n">
        <f aca="false">SUMIF(G6:G8,"&lt;0")+SUMIF(G12:G14,"&lt;0")+SUMIF(G18:G19,"&lt;0")</f>
        <v>-522963.63</v>
      </c>
      <c r="H24" s="8" t="n">
        <f aca="false">SUMIF(H6:H8,"&lt;0")+SUMIF(H12:H14,"&lt;0")+SUMIF(H18:H19,"&lt;0")</f>
        <v>-522963.63</v>
      </c>
      <c r="I24" s="8" t="n">
        <f aca="false">SUMIF(I6:I8,"&lt;0")+SUMIF(I12:I14,"&lt;0")+SUMIF(I18:I19,"&lt;0")</f>
        <v>-522963.63</v>
      </c>
      <c r="J24" s="8" t="n">
        <f aca="false">SUM(D24:I24)</f>
        <v>-3642888.46</v>
      </c>
      <c r="K24" s="7" t="s">
        <v>46</v>
      </c>
    </row>
    <row r="25" customFormat="false" ht="30" hidden="false" customHeight="true" outlineLevel="0" collapsed="false">
      <c r="A25" s="9" t="s">
        <v>47</v>
      </c>
      <c r="B25" s="10"/>
      <c r="C25" s="11" t="n">
        <f aca="false">C9+C15+C20</f>
        <v>191492.58</v>
      </c>
      <c r="D25" s="11" t="n">
        <f aca="false">D9+D15+D20</f>
        <v>637268.73</v>
      </c>
      <c r="E25" s="11" t="n">
        <f aca="false">E9+E15+E20</f>
        <v>320418.21</v>
      </c>
      <c r="F25" s="11" t="n">
        <f aca="false">F9+F15+F20</f>
        <v>1162263.99884775</v>
      </c>
      <c r="G25" s="11" t="n">
        <f aca="false">G9+G15+G20</f>
        <v>297369.75</v>
      </c>
      <c r="H25" s="11" t="n">
        <f aca="false">H9+H15+H20</f>
        <v>583275.823333333</v>
      </c>
      <c r="I25" s="11" t="n">
        <f aca="false">I9+I15+I20</f>
        <v>929519.15</v>
      </c>
      <c r="J25" s="11" t="n">
        <f aca="false">SUM(D25:I25)</f>
        <v>3930115.66218109</v>
      </c>
      <c r="K25" s="10"/>
    </row>
    <row r="26" customFormat="false" ht="30" hidden="false" customHeight="true" outlineLevel="0" collapsed="false">
      <c r="A26" s="12" t="s">
        <v>48</v>
      </c>
      <c r="B26" s="7"/>
      <c r="C26" s="13" t="n">
        <v>0</v>
      </c>
      <c r="D26" s="13" t="n">
        <f aca="false">D25</f>
        <v>637268.73</v>
      </c>
      <c r="E26" s="13" t="n">
        <f aca="false">D26+E25</f>
        <v>957686.94</v>
      </c>
      <c r="F26" s="13" t="n">
        <f aca="false">E26+F25</f>
        <v>2119950.93884775</v>
      </c>
      <c r="G26" s="13" t="n">
        <f aca="false">F26+G25</f>
        <v>2417320.68884775</v>
      </c>
      <c r="H26" s="13" t="n">
        <f aca="false">G26+H25</f>
        <v>3000596.51218109</v>
      </c>
      <c r="I26" s="13" t="n">
        <f aca="false">H26+I25</f>
        <v>3930115.66218109</v>
      </c>
      <c r="J26" s="13"/>
      <c r="K26" s="7"/>
    </row>
    <row r="28" customFormat="false" ht="15" hidden="false" customHeight="false" outlineLevel="0" collapsed="false">
      <c r="A28" s="12" t="s">
        <v>49</v>
      </c>
    </row>
    <row r="29" customFormat="false" ht="30" hidden="false" customHeight="true" outlineLevel="0" collapsed="false">
      <c r="A29" s="14" t="s">
        <v>50</v>
      </c>
      <c r="B29" s="14"/>
      <c r="C29" s="14"/>
      <c r="D29" s="14"/>
      <c r="E29" s="14"/>
      <c r="F29" s="14"/>
      <c r="G29" s="14"/>
      <c r="H29" s="14"/>
      <c r="I29" s="14"/>
      <c r="J29" s="14"/>
      <c r="K29" s="14"/>
    </row>
    <row r="30" customFormat="false" ht="30" hidden="false" customHeight="true" outlineLevel="0" collapsed="false">
      <c r="A30" s="14" t="s">
        <v>51</v>
      </c>
      <c r="B30" s="14"/>
      <c r="C30" s="14"/>
      <c r="D30" s="14"/>
      <c r="E30" s="14"/>
      <c r="F30" s="14"/>
      <c r="G30" s="14"/>
      <c r="H30" s="14"/>
      <c r="I30" s="14"/>
      <c r="J30" s="14"/>
      <c r="K30" s="14"/>
    </row>
    <row r="31" customFormat="false" ht="30" hidden="false" customHeight="true" outlineLevel="0" collapsed="false">
      <c r="A31" s="14" t="s">
        <v>52</v>
      </c>
      <c r="B31" s="14"/>
      <c r="C31" s="14"/>
      <c r="D31" s="14"/>
      <c r="E31" s="14"/>
      <c r="F31" s="14"/>
      <c r="G31" s="14"/>
      <c r="H31" s="14"/>
      <c r="I31" s="14"/>
      <c r="J31" s="14"/>
      <c r="K31" s="14"/>
    </row>
    <row r="32" customFormat="false" ht="30" hidden="false" customHeight="true" outlineLevel="0" collapsed="false">
      <c r="A32" s="14" t="s">
        <v>53</v>
      </c>
      <c r="B32" s="14"/>
      <c r="C32" s="14"/>
      <c r="D32" s="14"/>
      <c r="E32" s="14"/>
      <c r="F32" s="14"/>
      <c r="G32" s="14"/>
      <c r="H32" s="14"/>
      <c r="I32" s="14"/>
      <c r="J32" s="14"/>
      <c r="K32" s="14"/>
    </row>
    <row r="33" customFormat="false" ht="30" hidden="false" customHeight="true" outlineLevel="0" collapsed="false">
      <c r="A33" s="14" t="s">
        <v>54</v>
      </c>
      <c r="B33" s="14"/>
      <c r="C33" s="14"/>
      <c r="D33" s="14"/>
      <c r="E33" s="14"/>
      <c r="F33" s="14"/>
      <c r="G33" s="14"/>
      <c r="H33" s="14"/>
      <c r="I33" s="14"/>
      <c r="J33" s="14"/>
      <c r="K33" s="14"/>
    </row>
    <row r="34" customFormat="false" ht="30" hidden="false" customHeight="true" outlineLevel="0" collapsed="false">
      <c r="A34" s="14" t="s">
        <v>55</v>
      </c>
      <c r="B34" s="14"/>
      <c r="C34" s="14"/>
      <c r="D34" s="14"/>
      <c r="E34" s="14"/>
      <c r="F34" s="14"/>
      <c r="G34" s="14"/>
      <c r="H34" s="14"/>
      <c r="I34" s="14"/>
      <c r="J34" s="14"/>
      <c r="K34" s="14"/>
    </row>
  </sheetData>
  <mergeCells count="7">
    <mergeCell ref="A2:K2"/>
    <mergeCell ref="A29:K29"/>
    <mergeCell ref="A30:K30"/>
    <mergeCell ref="A31:K31"/>
    <mergeCell ref="A32:K32"/>
    <mergeCell ref="A33:K33"/>
    <mergeCell ref="A34:K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6"/>
    <col collapsed="false" customWidth="true" hidden="false" outlineLevel="0" max="9" min="9" style="0" width="60"/>
  </cols>
  <sheetData>
    <row r="1" customFormat="false" ht="17.35" hidden="false" customHeight="false" outlineLevel="0" collapsed="false">
      <c r="A1" s="1" t="s">
        <v>56</v>
      </c>
    </row>
    <row r="2" customFormat="false" ht="15" hidden="false" customHeight="false" outlineLevel="0" collapsed="false">
      <c r="A2" s="15" t="s">
        <v>57</v>
      </c>
    </row>
    <row r="4" customFormat="false" ht="15" hidden="false" customHeight="false" outlineLevel="0" collapsed="false">
      <c r="A4" s="4" t="s">
        <v>58</v>
      </c>
      <c r="B4" s="5"/>
      <c r="C4" s="5"/>
      <c r="D4" s="5"/>
      <c r="E4" s="5"/>
      <c r="F4" s="5"/>
      <c r="G4" s="5"/>
      <c r="H4" s="5"/>
      <c r="I4" s="5"/>
    </row>
    <row r="5" customFormat="false" ht="23.85" hidden="false" customHeight="false" outlineLevel="0" collapsed="false">
      <c r="A5" s="6" t="s">
        <v>59</v>
      </c>
      <c r="B5" s="16" t="s">
        <v>60</v>
      </c>
      <c r="C5" s="16" t="s">
        <v>61</v>
      </c>
      <c r="D5" s="16" t="s">
        <v>62</v>
      </c>
      <c r="E5" s="16" t="s">
        <v>63</v>
      </c>
      <c r="F5" s="16" t="s">
        <v>64</v>
      </c>
      <c r="G5" s="16" t="s">
        <v>65</v>
      </c>
      <c r="H5" s="16" t="s">
        <v>66</v>
      </c>
      <c r="I5" s="7" t="s">
        <v>67</v>
      </c>
    </row>
    <row r="6" customFormat="false" ht="35.05" hidden="false" customHeight="false" outlineLevel="0" collapsed="false">
      <c r="A6" s="6" t="s">
        <v>68</v>
      </c>
      <c r="B6" s="16" t="s">
        <v>69</v>
      </c>
      <c r="C6" s="16" t="s">
        <v>70</v>
      </c>
      <c r="D6" s="16" t="s">
        <v>71</v>
      </c>
      <c r="E6" s="16" t="s">
        <v>72</v>
      </c>
      <c r="F6" s="16" t="s">
        <v>73</v>
      </c>
      <c r="G6" s="16" t="s">
        <v>74</v>
      </c>
      <c r="H6" s="16" t="s">
        <v>75</v>
      </c>
      <c r="I6" s="7" t="s">
        <v>76</v>
      </c>
    </row>
    <row r="8" customFormat="false" ht="15" hidden="false" customHeight="false" outlineLevel="0" collapsed="false">
      <c r="A8" s="4" t="s">
        <v>77</v>
      </c>
      <c r="B8" s="5"/>
      <c r="C8" s="5"/>
      <c r="D8" s="5"/>
      <c r="E8" s="5"/>
      <c r="F8" s="5"/>
      <c r="G8" s="5"/>
      <c r="H8" s="5"/>
      <c r="I8" s="5"/>
    </row>
    <row r="9" customFormat="false" ht="15" hidden="false" customHeight="false" outlineLevel="0" collapsed="false">
      <c r="A9" s="12" t="s">
        <v>78</v>
      </c>
      <c r="B9" s="17" t="s">
        <v>79</v>
      </c>
      <c r="C9" s="17" t="s">
        <v>80</v>
      </c>
      <c r="D9" s="17" t="s">
        <v>81</v>
      </c>
      <c r="E9" s="17" t="s">
        <v>82</v>
      </c>
    </row>
    <row r="10" customFormat="false" ht="15" hidden="false" customHeight="false" outlineLevel="0" collapsed="false">
      <c r="A10" s="6" t="s">
        <v>83</v>
      </c>
      <c r="B10" s="18" t="n">
        <f aca="false">'SH NPC PAYE'!C33</f>
        <v>101709.29</v>
      </c>
      <c r="C10" s="18" t="n">
        <f aca="false">'SH NPC PAYE'!C34</f>
        <v>143526.56</v>
      </c>
      <c r="D10" s="18" t="n">
        <f aca="false">'SH NPC PAYE'!C35</f>
        <v>220030.94</v>
      </c>
      <c r="E10" s="8" t="n">
        <f aca="false">AVERAGE(B10:D10)</f>
        <v>155088.93</v>
      </c>
    </row>
    <row r="11" customFormat="false" ht="15" hidden="false" customHeight="false" outlineLevel="0" collapsed="false">
      <c r="A11" s="6" t="s">
        <v>84</v>
      </c>
      <c r="B11" s="18" t="n">
        <f aca="false">'SH NPC PAYE'!D33</f>
        <v>15126.68</v>
      </c>
      <c r="C11" s="18" t="n">
        <f aca="false">'SH NPC PAYE'!D34</f>
        <v>16362.25</v>
      </c>
      <c r="D11" s="18" t="n">
        <f aca="false">'SH NPC PAYE'!D35</f>
        <v>18588.92</v>
      </c>
      <c r="E11" s="8" t="n">
        <f aca="false">AVERAGE(B11:D11)</f>
        <v>16692.6166666667</v>
      </c>
    </row>
    <row r="12" customFormat="false" ht="15" hidden="false" customHeight="false" outlineLevel="0" collapsed="false">
      <c r="A12" s="6" t="s">
        <v>85</v>
      </c>
      <c r="B12" s="18" t="n">
        <f aca="false">'SH NPC PAYE'!E33</f>
        <v>25259.38</v>
      </c>
      <c r="C12" s="18" t="n">
        <f aca="false">'SH NPC PAYE'!E34</f>
        <v>25347.68</v>
      </c>
      <c r="D12" s="18" t="n">
        <f aca="false">'SH NPC PAYE'!E35</f>
        <v>25957.26</v>
      </c>
      <c r="E12" s="8" t="n">
        <f aca="false">AVERAGE(B12:D12)</f>
        <v>25521.44</v>
      </c>
    </row>
    <row r="13" customFormat="false" ht="15" hidden="false" customHeight="false" outlineLevel="0" collapsed="false">
      <c r="A13" s="6" t="s">
        <v>86</v>
      </c>
      <c r="B13" s="18" t="n">
        <f aca="false">'SH NPC PAYE'!F33</f>
        <v>101709.29</v>
      </c>
      <c r="C13" s="18" t="n">
        <f aca="false">'SH NPC PAYE'!F34</f>
        <v>143526.56</v>
      </c>
      <c r="D13" s="18" t="n">
        <f aca="false">'SH NPC PAYE'!F35</f>
        <v>139250.39</v>
      </c>
      <c r="E13" s="8" t="n">
        <f aca="false">AVERAGE(B13:D13)</f>
        <v>128162.08</v>
      </c>
    </row>
    <row r="14" customFormat="false" ht="15" hidden="false" customHeight="false" outlineLevel="0" collapsed="false">
      <c r="A14" s="6" t="s">
        <v>87</v>
      </c>
      <c r="B14" s="18" t="n">
        <f aca="false">'SH NPC PAYE'!G33</f>
        <v>40386.06</v>
      </c>
      <c r="C14" s="18" t="n">
        <f aca="false">'SH NPC PAYE'!G34</f>
        <v>41709.93</v>
      </c>
      <c r="D14" s="18" t="n">
        <f aca="false">'SH NPC PAYE'!G35</f>
        <v>125326.73</v>
      </c>
      <c r="E14" s="8" t="n">
        <f aca="false">AVERAGE(B14:D14)</f>
        <v>69140.9066666667</v>
      </c>
    </row>
    <row r="16" customFormat="false" ht="46.25" hidden="false" customHeight="false" outlineLevel="0" collapsed="false">
      <c r="A16" s="6" t="s">
        <v>88</v>
      </c>
      <c r="B16" s="19" t="n">
        <f aca="false">'SH NPC PAYE'!C35</f>
        <v>220030.94</v>
      </c>
      <c r="I16" s="7" t="s">
        <v>89</v>
      </c>
    </row>
    <row r="17" customFormat="false" ht="15" hidden="false" customHeight="false" outlineLevel="0" collapsed="false">
      <c r="A17" s="6" t="s">
        <v>90</v>
      </c>
      <c r="B17" s="20" t="n">
        <f aca="false">'SH NPC PAYE'!D35</f>
        <v>18588.92</v>
      </c>
      <c r="I17" s="7" t="s">
        <v>91</v>
      </c>
    </row>
    <row r="18" customFormat="false" ht="15" hidden="false" customHeight="false" outlineLevel="0" collapsed="false">
      <c r="A18" s="6" t="s">
        <v>92</v>
      </c>
      <c r="B18" s="20" t="n">
        <f aca="false">'SH NPC PAYE'!E35</f>
        <v>25957.26</v>
      </c>
      <c r="I18" s="7" t="s">
        <v>93</v>
      </c>
    </row>
    <row r="19" customFormat="false" ht="35.05" hidden="false" customHeight="false" outlineLevel="0" collapsed="false">
      <c r="A19" s="6" t="s">
        <v>94</v>
      </c>
      <c r="B19" s="20" t="n">
        <f aca="false">'SH NPC PAYE'!L35</f>
        <v>139250.39</v>
      </c>
      <c r="I19" s="7" t="s">
        <v>95</v>
      </c>
    </row>
    <row r="20" customFormat="false" ht="35.05" hidden="false" customHeight="false" outlineLevel="0" collapsed="false">
      <c r="A20" s="6" t="s">
        <v>96</v>
      </c>
      <c r="B20" s="21" t="n">
        <f aca="false">'SH NPC PAYE'!C26/'SH NPC PAYE'!C25</f>
        <v>1.86587103653302</v>
      </c>
      <c r="I20" s="7" t="s">
        <v>97</v>
      </c>
    </row>
    <row r="21" customFormat="false" ht="23.85" hidden="false" customHeight="false" outlineLevel="0" collapsed="false">
      <c r="A21" s="6" t="s">
        <v>98</v>
      </c>
      <c r="B21" s="22" t="n">
        <v>1</v>
      </c>
      <c r="I21" s="7" t="s">
        <v>99</v>
      </c>
    </row>
    <row r="23" customFormat="false" ht="15" hidden="false" customHeight="false" outlineLevel="0" collapsed="false">
      <c r="A23" s="4" t="s">
        <v>100</v>
      </c>
      <c r="B23" s="5"/>
      <c r="C23" s="5"/>
      <c r="D23" s="5"/>
      <c r="E23" s="5"/>
      <c r="F23" s="5"/>
      <c r="G23" s="5"/>
      <c r="H23" s="5"/>
      <c r="I23" s="5"/>
    </row>
    <row r="24" customFormat="false" ht="15" hidden="false" customHeight="false" outlineLevel="0" collapsed="false">
      <c r="A24" s="12" t="s">
        <v>101</v>
      </c>
      <c r="B24" s="17" t="s">
        <v>79</v>
      </c>
      <c r="C24" s="17" t="s">
        <v>80</v>
      </c>
      <c r="D24" s="17" t="s">
        <v>81</v>
      </c>
      <c r="E24" s="17" t="s">
        <v>82</v>
      </c>
    </row>
    <row r="25" customFormat="false" ht="15" hidden="false" customHeight="false" outlineLevel="0" collapsed="false">
      <c r="A25" s="6" t="s">
        <v>83</v>
      </c>
      <c r="B25" s="18" t="n">
        <f aca="false">'Amandla PAYE'!C33</f>
        <v>653302.6</v>
      </c>
      <c r="C25" s="18" t="n">
        <f aca="false">'Amandla PAYE'!C34</f>
        <v>624609.95</v>
      </c>
      <c r="D25" s="18" t="n">
        <f aca="false">'Amandla PAYE'!C35</f>
        <v>605717.96</v>
      </c>
      <c r="E25" s="8" t="n">
        <f aca="false">AVERAGE(B25:D25)</f>
        <v>627876.836666667</v>
      </c>
    </row>
    <row r="26" customFormat="false" ht="15" hidden="false" customHeight="false" outlineLevel="0" collapsed="false">
      <c r="A26" s="6" t="s">
        <v>84</v>
      </c>
      <c r="B26" s="18" t="n">
        <f aca="false">'Amandla PAYE'!D33</f>
        <v>0</v>
      </c>
      <c r="C26" s="18" t="n">
        <f aca="false">'Amandla PAYE'!D34</f>
        <v>0</v>
      </c>
      <c r="D26" s="18" t="n">
        <f aca="false">'Amandla PAYE'!D35</f>
        <v>0</v>
      </c>
      <c r="E26" s="8" t="n">
        <f aca="false">AVERAGE(B26:D26)</f>
        <v>0</v>
      </c>
    </row>
    <row r="27" customFormat="false" ht="15" hidden="false" customHeight="false" outlineLevel="0" collapsed="false">
      <c r="A27" s="6" t="s">
        <v>85</v>
      </c>
      <c r="B27" s="18" t="n">
        <f aca="false">'Amandla PAYE'!E33</f>
        <v>25418.02</v>
      </c>
      <c r="C27" s="18" t="n">
        <f aca="false">'Amandla PAYE'!E34</f>
        <v>24251.3</v>
      </c>
      <c r="D27" s="18" t="n">
        <f aca="false">'Amandla PAYE'!E35</f>
        <v>23159.66</v>
      </c>
      <c r="E27" s="8" t="n">
        <f aca="false">AVERAGE(B27:D27)</f>
        <v>24276.3266666667</v>
      </c>
    </row>
    <row r="28" customFormat="false" ht="15" hidden="false" customHeight="false" outlineLevel="0" collapsed="false">
      <c r="A28" s="6" t="s">
        <v>86</v>
      </c>
      <c r="B28" s="18" t="n">
        <f aca="false">'Amandla PAYE'!F33</f>
        <v>37590.83</v>
      </c>
      <c r="C28" s="18" t="n">
        <f aca="false">'Amandla PAYE'!F34</f>
        <v>63090.83</v>
      </c>
      <c r="D28" s="18" t="n">
        <f aca="false">'Amandla PAYE'!F35</f>
        <v>55715.83</v>
      </c>
      <c r="E28" s="8" t="n">
        <f aca="false">AVERAGE(B28:D28)</f>
        <v>52132.4966666667</v>
      </c>
    </row>
    <row r="29" customFormat="false" ht="15" hidden="false" customHeight="false" outlineLevel="0" collapsed="false">
      <c r="A29" s="6" t="s">
        <v>87</v>
      </c>
      <c r="B29" s="18" t="n">
        <f aca="false">'Amandla PAYE'!G33</f>
        <v>641129.79</v>
      </c>
      <c r="C29" s="18" t="n">
        <f aca="false">'Amandla PAYE'!G34</f>
        <v>585770.42</v>
      </c>
      <c r="D29" s="18" t="n">
        <f aca="false">'Amandla PAYE'!G35</f>
        <v>573161.79</v>
      </c>
      <c r="E29" s="8" t="n">
        <f aca="false">AVERAGE(B29:D29)</f>
        <v>600020.666666667</v>
      </c>
    </row>
    <row r="31" customFormat="false" ht="35.05" hidden="false" customHeight="false" outlineLevel="0" collapsed="false">
      <c r="A31" s="6" t="s">
        <v>88</v>
      </c>
      <c r="B31" s="19" t="n">
        <f aca="false">'Amandla PAYE'!C35</f>
        <v>605717.96</v>
      </c>
      <c r="I31" s="7" t="s">
        <v>102</v>
      </c>
    </row>
    <row r="32" customFormat="false" ht="15" hidden="false" customHeight="false" outlineLevel="0" collapsed="false">
      <c r="A32" s="6" t="s">
        <v>90</v>
      </c>
      <c r="B32" s="20" t="n">
        <f aca="false">'Amandla PAYE'!D35</f>
        <v>0</v>
      </c>
      <c r="I32" s="7" t="s">
        <v>103</v>
      </c>
    </row>
    <row r="33" customFormat="false" ht="15" hidden="false" customHeight="false" outlineLevel="0" collapsed="false">
      <c r="A33" s="6" t="s">
        <v>92</v>
      </c>
      <c r="B33" s="20" t="n">
        <f aca="false">'Amandla PAYE'!E35</f>
        <v>23159.66</v>
      </c>
      <c r="I33" s="7" t="s">
        <v>91</v>
      </c>
    </row>
    <row r="34" customFormat="false" ht="35.05" hidden="false" customHeight="false" outlineLevel="0" collapsed="false">
      <c r="A34" s="6" t="s">
        <v>94</v>
      </c>
      <c r="B34" s="20" t="n">
        <f aca="false">'Amandla PAYE'!L35</f>
        <v>55715.83</v>
      </c>
      <c r="I34" s="7" t="s">
        <v>104</v>
      </c>
    </row>
    <row r="35" customFormat="false" ht="35.05" hidden="false" customHeight="false" outlineLevel="0" collapsed="false">
      <c r="A35" s="6" t="s">
        <v>96</v>
      </c>
      <c r="B35" s="21" t="n">
        <f aca="false">'Amandla PAYE'!C26/'Amandla PAYE'!C25</f>
        <v>1.64133769027962</v>
      </c>
      <c r="I35" s="7" t="s">
        <v>105</v>
      </c>
    </row>
    <row r="37" customFormat="false" ht="15" hidden="false" customHeight="false" outlineLevel="0" collapsed="false">
      <c r="A37" s="4" t="s">
        <v>106</v>
      </c>
      <c r="B37" s="5"/>
      <c r="C37" s="5"/>
      <c r="D37" s="5"/>
      <c r="E37" s="5"/>
      <c r="F37" s="5"/>
      <c r="G37" s="5"/>
      <c r="H37" s="5"/>
      <c r="I37" s="5"/>
    </row>
    <row r="38" customFormat="false" ht="35.05" hidden="false" customHeight="false" outlineLevel="0" collapsed="false">
      <c r="A38" s="6" t="s">
        <v>107</v>
      </c>
      <c r="B38" s="23" t="n">
        <f aca="false">'SH NPC PAYE'!M34</f>
        <v>505106.68</v>
      </c>
      <c r="I38" s="7" t="s">
        <v>108</v>
      </c>
    </row>
    <row r="39" customFormat="false" ht="35.05" hidden="false" customHeight="false" outlineLevel="0" collapsed="false">
      <c r="A39" s="6" t="s">
        <v>109</v>
      </c>
      <c r="B39" s="24" t="n">
        <v>2</v>
      </c>
      <c r="I39" s="7" t="s">
        <v>110</v>
      </c>
    </row>
    <row r="40" customFormat="false" ht="35.05" hidden="false" customHeight="false" outlineLevel="0" collapsed="false">
      <c r="A40" s="6" t="s">
        <v>111</v>
      </c>
      <c r="I40" s="7" t="s">
        <v>112</v>
      </c>
    </row>
    <row r="42" customFormat="false" ht="15" hidden="false" customHeight="false" outlineLevel="0" collapsed="false">
      <c r="A42" s="4" t="s">
        <v>113</v>
      </c>
      <c r="B42" s="5"/>
      <c r="C42" s="5"/>
      <c r="D42" s="5"/>
      <c r="E42" s="5"/>
      <c r="F42" s="5"/>
      <c r="G42" s="5"/>
      <c r="H42" s="5"/>
      <c r="I42" s="5"/>
    </row>
    <row r="43" customFormat="false" ht="15" hidden="false" customHeight="false" outlineLevel="0" collapsed="false">
      <c r="A43" s="12" t="s">
        <v>114</v>
      </c>
      <c r="B43" s="17" t="s">
        <v>115</v>
      </c>
    </row>
    <row r="44" customFormat="false" ht="15" hidden="false" customHeight="false" outlineLevel="0" collapsed="false">
      <c r="A44" s="6" t="s">
        <v>116</v>
      </c>
      <c r="B44" s="18" t="n">
        <f aca="false">AVERAGE('SH NPC VAT'!C17+'SH NPC VAT'!D17,'SH NPC VAT'!C18,'SH NPC VAT'!C19)</f>
        <v>407750.933333333</v>
      </c>
    </row>
    <row r="45" customFormat="false" ht="15" hidden="false" customHeight="false" outlineLevel="0" collapsed="false">
      <c r="A45" s="6" t="s">
        <v>117</v>
      </c>
      <c r="B45" s="18" t="n">
        <f aca="false">'SH NPC VAT'!C14</f>
        <v>370625.28</v>
      </c>
      <c r="C45" s="18" t="n">
        <f aca="false">'SH NPC VAT'!C15</f>
        <v>96064.46</v>
      </c>
      <c r="D45" s="18" t="n">
        <f aca="false">'SH NPC VAT'!C16</f>
        <v>373522.47</v>
      </c>
    </row>
    <row r="46" customFormat="false" ht="23.85" hidden="false" customHeight="false" outlineLevel="0" collapsed="false">
      <c r="A46" s="6" t="s">
        <v>118</v>
      </c>
      <c r="B46" s="25" t="n">
        <v>267917.74</v>
      </c>
      <c r="I46" s="7" t="s">
        <v>119</v>
      </c>
    </row>
    <row r="47" customFormat="false" ht="35.05" hidden="false" customHeight="false" outlineLevel="0" collapsed="false">
      <c r="A47" s="6" t="s">
        <v>120</v>
      </c>
      <c r="B47" s="8" t="n">
        <f aca="false">ROUND(1292174*0.15,2)</f>
        <v>193826.1</v>
      </c>
      <c r="I47" s="7" t="s">
        <v>121</v>
      </c>
    </row>
    <row r="49" customFormat="false" ht="23.85" hidden="false" customHeight="false" outlineLevel="0" collapsed="false">
      <c r="A49" s="6" t="s">
        <v>122</v>
      </c>
      <c r="B49" s="19" t="n">
        <f aca="false">Assumptions!$B$46+Assumptions!$B$47</f>
        <v>461743.84</v>
      </c>
      <c r="I49" s="7" t="s">
        <v>123</v>
      </c>
    </row>
    <row r="50" customFormat="false" ht="35.05" hidden="false" customHeight="false" outlineLevel="0" collapsed="false">
      <c r="A50" s="6" t="s">
        <v>124</v>
      </c>
      <c r="B50" s="19" t="n">
        <f aca="false">Assumptions!$B$44</f>
        <v>407750.933333333</v>
      </c>
      <c r="I50" s="7" t="s">
        <v>125</v>
      </c>
    </row>
    <row r="51" customFormat="false" ht="15" hidden="false" customHeight="false" outlineLevel="0" collapsed="false">
      <c r="A51" s="6" t="s">
        <v>126</v>
      </c>
      <c r="B51" s="19" t="n">
        <f aca="false">Assumptions!$B$44</f>
        <v>407750.933333333</v>
      </c>
      <c r="I51" s="7" t="s">
        <v>127</v>
      </c>
    </row>
    <row r="52" customFormat="false" ht="15" hidden="false" customHeight="false" outlineLevel="0" collapsed="false">
      <c r="A52" s="6" t="s">
        <v>128</v>
      </c>
      <c r="I52" s="15" t="s">
        <v>129</v>
      </c>
    </row>
    <row r="54" customFormat="false" ht="15" hidden="false" customHeight="false" outlineLevel="0" collapsed="false">
      <c r="A54" s="4" t="s">
        <v>130</v>
      </c>
      <c r="B54" s="5"/>
      <c r="C54" s="5"/>
      <c r="D54" s="5"/>
      <c r="E54" s="5"/>
      <c r="F54" s="5"/>
      <c r="G54" s="5"/>
      <c r="H54" s="5"/>
      <c r="I54" s="5"/>
    </row>
    <row r="55" customFormat="false" ht="15" hidden="false" customHeight="false" outlineLevel="0" collapsed="false">
      <c r="A55" s="12" t="s">
        <v>131</v>
      </c>
      <c r="B55" s="17" t="s">
        <v>115</v>
      </c>
    </row>
    <row r="56" customFormat="false" ht="15" hidden="false" customHeight="false" outlineLevel="0" collapsed="false">
      <c r="A56" s="6" t="s">
        <v>132</v>
      </c>
      <c r="B56" s="18" t="n">
        <f aca="false">AVERAGE('SH Enterprises VAT'!C18,'SH Enterprises VAT'!C19,'SH Enterprises VAT'!C20)</f>
        <v>336087.026666667</v>
      </c>
    </row>
    <row r="57" customFormat="false" ht="15" hidden="false" customHeight="false" outlineLevel="0" collapsed="false">
      <c r="A57" s="6" t="s">
        <v>133</v>
      </c>
      <c r="B57" s="18" t="n">
        <f aca="false">'SH Enterprises VAT'!C15</f>
        <v>1144827.74</v>
      </c>
      <c r="C57" s="18" t="n">
        <f aca="false">'SH Enterprises VAT'!C16</f>
        <v>121844.86</v>
      </c>
      <c r="D57" s="18" t="n">
        <f aca="false">'SH Enterprises VAT'!C17</f>
        <v>753994.26</v>
      </c>
    </row>
    <row r="58" customFormat="false" ht="15" hidden="false" customHeight="false" outlineLevel="0" collapsed="false">
      <c r="A58" s="6" t="s">
        <v>134</v>
      </c>
      <c r="B58" s="18" t="n">
        <f aca="false">'SH Enterprises VAT'!C9</f>
        <v>990136.99</v>
      </c>
      <c r="C58" s="18" t="n">
        <f aca="false">'SH Enterprises VAT'!C10</f>
        <v>70541.17</v>
      </c>
      <c r="D58" s="18" t="n">
        <f aca="false">'SH Enterprises VAT'!C11</f>
        <v>494929.76</v>
      </c>
    </row>
    <row r="59" customFormat="false" ht="15" hidden="false" customHeight="false" outlineLevel="0" collapsed="false">
      <c r="A59" s="6" t="s">
        <v>135</v>
      </c>
      <c r="B59" s="25" t="n">
        <v>24026.29</v>
      </c>
    </row>
    <row r="61" customFormat="false" ht="46.25" hidden="false" customHeight="false" outlineLevel="0" collapsed="false">
      <c r="A61" s="6" t="s">
        <v>136</v>
      </c>
      <c r="B61" s="26" t="n">
        <f aca="false">'SH Enterprises VAT'!C20</f>
        <v>191492.58</v>
      </c>
      <c r="I61" s="7" t="s">
        <v>137</v>
      </c>
    </row>
    <row r="62" customFormat="false" ht="35.05" hidden="false" customHeight="false" outlineLevel="0" collapsed="false">
      <c r="A62" s="6" t="s">
        <v>138</v>
      </c>
      <c r="B62" s="23" t="n">
        <f aca="false">'SH Enterprises VAT'!E20</f>
        <v>19149.26</v>
      </c>
      <c r="I62" s="7" t="s">
        <v>139</v>
      </c>
    </row>
    <row r="63" customFormat="false" ht="23.85" hidden="false" customHeight="false" outlineLevel="0" collapsed="false">
      <c r="A63" s="6" t="s">
        <v>140</v>
      </c>
      <c r="B63" s="24" t="n">
        <v>1</v>
      </c>
      <c r="I63" s="7" t="s">
        <v>141</v>
      </c>
    </row>
    <row r="64" customFormat="false" ht="79.85" hidden="false" customHeight="false" outlineLevel="0" collapsed="false">
      <c r="A64" s="6" t="s">
        <v>142</v>
      </c>
      <c r="B64" s="19" t="n">
        <v>650000</v>
      </c>
      <c r="I64" s="7" t="s">
        <v>143</v>
      </c>
    </row>
    <row r="65" customFormat="false" ht="23.85" hidden="false" customHeight="false" outlineLevel="0" collapsed="false">
      <c r="A65" s="6" t="s">
        <v>144</v>
      </c>
      <c r="B65" s="19" t="n">
        <f aca="false">Assumptions!$C$57</f>
        <v>121844.86</v>
      </c>
      <c r="I65" s="7" t="s">
        <v>145</v>
      </c>
    </row>
    <row r="66" customFormat="false" ht="23.85" hidden="false" customHeight="false" outlineLevel="0" collapsed="false">
      <c r="A66" s="6" t="s">
        <v>146</v>
      </c>
      <c r="B66" s="19" t="n">
        <f aca="false">Assumptions!$D$57</f>
        <v>753994.26</v>
      </c>
      <c r="I66" s="7" t="s">
        <v>147</v>
      </c>
    </row>
    <row r="68" customFormat="false" ht="15" hidden="false" customHeight="false" outlineLevel="0" collapsed="false">
      <c r="A68" s="4" t="s">
        <v>148</v>
      </c>
      <c r="B68" s="5"/>
      <c r="C68" s="5"/>
      <c r="D68" s="5"/>
      <c r="E68" s="5"/>
      <c r="F68" s="5"/>
      <c r="G68" s="5"/>
      <c r="H68" s="5"/>
      <c r="I68" s="5"/>
    </row>
    <row r="69" customFormat="false" ht="15" hidden="false" customHeight="false" outlineLevel="0" collapsed="false">
      <c r="A69" s="12" t="s">
        <v>149</v>
      </c>
      <c r="B69" s="17" t="s">
        <v>115</v>
      </c>
    </row>
    <row r="70" customFormat="false" ht="15" hidden="false" customHeight="false" outlineLevel="0" collapsed="false">
      <c r="A70" s="6" t="s">
        <v>150</v>
      </c>
      <c r="B70" s="18" t="n">
        <f aca="false">-AVERAGE('Amandla VAT'!C30:C35)</f>
        <v>522963.63</v>
      </c>
    </row>
    <row r="71" customFormat="false" ht="15" hidden="false" customHeight="false" outlineLevel="0" collapsed="false">
      <c r="A71" s="6" t="s">
        <v>151</v>
      </c>
      <c r="B71" s="18" t="n">
        <f aca="false">-AVERAGE('Amandla VAT'!C33:C35)</f>
        <v>609556.98</v>
      </c>
    </row>
    <row r="72" customFormat="false" ht="15" hidden="false" customHeight="false" outlineLevel="0" collapsed="false">
      <c r="A72" s="6" t="s">
        <v>152</v>
      </c>
      <c r="B72" s="18" t="n">
        <f aca="false">-'Amandla VAT'!C24</f>
        <v>454457.46</v>
      </c>
      <c r="C72" s="18" t="n">
        <f aca="false">-'Amandla VAT'!C25</f>
        <v>366017.3</v>
      </c>
      <c r="D72" s="18" t="n">
        <f aca="false">-'Amandla VAT'!C26</f>
        <v>491610.15</v>
      </c>
      <c r="E72" s="18" t="n">
        <f aca="false">-'Amandla VAT'!C27</f>
        <v>344919.32</v>
      </c>
      <c r="F72" s="18" t="n">
        <f aca="false">-'Amandla VAT'!C28</f>
        <v>579213.16</v>
      </c>
      <c r="G72" s="18" t="n">
        <f aca="false">-'Amandla VAT'!C29</f>
        <v>401978.93</v>
      </c>
    </row>
    <row r="73" customFormat="false" ht="23.85" hidden="false" customHeight="false" outlineLevel="0" collapsed="false">
      <c r="A73" s="6" t="s">
        <v>153</v>
      </c>
      <c r="B73" s="25" t="n">
        <v>152056.44</v>
      </c>
      <c r="I73" s="7" t="s">
        <v>154</v>
      </c>
    </row>
    <row r="75" customFormat="false" ht="35.05" hidden="false" customHeight="false" outlineLevel="0" collapsed="false">
      <c r="A75" s="6" t="s">
        <v>155</v>
      </c>
      <c r="B75" s="19" t="n">
        <f aca="false">Assumptions!$B$70</f>
        <v>522963.63</v>
      </c>
      <c r="I75" s="7" t="s">
        <v>156</v>
      </c>
    </row>
    <row r="76" customFormat="false" ht="15" hidden="false" customHeight="false" outlineLevel="0" collapsed="false">
      <c r="A76" s="6" t="s">
        <v>157</v>
      </c>
      <c r="B76" s="27" t="n">
        <f aca="false">Assumptions!$B$70</f>
        <v>522963.63</v>
      </c>
    </row>
    <row r="77" customFormat="false" ht="15" hidden="false" customHeight="false" outlineLevel="0" collapsed="false">
      <c r="A77" s="6" t="s">
        <v>158</v>
      </c>
      <c r="B77" s="27" t="n">
        <f aca="false">Assumptions!$B$70</f>
        <v>522963.63</v>
      </c>
    </row>
    <row r="78" customFormat="false" ht="15" hidden="false" customHeight="false" outlineLevel="0" collapsed="false">
      <c r="A78" s="6" t="s">
        <v>159</v>
      </c>
      <c r="B78" s="27" t="n">
        <f aca="false">Assumptions!$B$70</f>
        <v>522963.63</v>
      </c>
    </row>
    <row r="79" customFormat="false" ht="15" hidden="false" customHeight="false" outlineLevel="0" collapsed="false">
      <c r="A79" s="6" t="s">
        <v>160</v>
      </c>
      <c r="B79" s="27" t="n">
        <f aca="false">Assumptions!$B$70</f>
        <v>522963.63</v>
      </c>
    </row>
    <row r="80" customFormat="false" ht="15" hidden="false" customHeight="false" outlineLevel="0" collapsed="false">
      <c r="A80" s="6" t="s">
        <v>161</v>
      </c>
      <c r="B80" s="27" t="n">
        <f aca="false">Assumptions!$B$70</f>
        <v>522963.63</v>
      </c>
    </row>
    <row r="81" customFormat="false" ht="57.45" hidden="false" customHeight="false" outlineLevel="0" collapsed="false">
      <c r="A81" s="6" t="s">
        <v>162</v>
      </c>
      <c r="B81" s="24" t="n">
        <v>0</v>
      </c>
      <c r="I81" s="7" t="s">
        <v>163</v>
      </c>
    </row>
    <row r="83" customFormat="false" ht="15" hidden="false" customHeight="false" outlineLevel="0" collapsed="false">
      <c r="A83" s="4" t="s">
        <v>164</v>
      </c>
      <c r="B83" s="5"/>
      <c r="C83" s="5"/>
      <c r="D83" s="5"/>
      <c r="E83" s="5"/>
      <c r="F83" s="5"/>
      <c r="G83" s="5"/>
      <c r="H83" s="5"/>
      <c r="I83" s="5"/>
    </row>
    <row r="84" customFormat="false" ht="27.75" hidden="false" customHeight="true" outlineLevel="0" collapsed="false">
      <c r="A84" s="14" t="s">
        <v>165</v>
      </c>
      <c r="B84" s="14"/>
      <c r="C84" s="14"/>
      <c r="D84" s="14"/>
      <c r="E84" s="14"/>
      <c r="F84" s="14"/>
      <c r="G84" s="14"/>
      <c r="H84" s="14"/>
      <c r="I84" s="14"/>
    </row>
    <row r="85" customFormat="false" ht="27.75" hidden="false" customHeight="true" outlineLevel="0" collapsed="false">
      <c r="A85" s="14" t="s">
        <v>166</v>
      </c>
      <c r="B85" s="14"/>
      <c r="C85" s="14"/>
      <c r="D85" s="14"/>
      <c r="E85" s="14"/>
      <c r="F85" s="14"/>
      <c r="G85" s="14"/>
      <c r="H85" s="14"/>
      <c r="I85" s="14"/>
    </row>
    <row r="86" customFormat="false" ht="27.75" hidden="false" customHeight="true" outlineLevel="0" collapsed="false">
      <c r="A86" s="14" t="s">
        <v>167</v>
      </c>
      <c r="B86" s="14"/>
      <c r="C86" s="14"/>
      <c r="D86" s="14"/>
      <c r="E86" s="14"/>
      <c r="F86" s="14"/>
      <c r="G86" s="14"/>
      <c r="H86" s="14"/>
      <c r="I86" s="14"/>
    </row>
    <row r="87" customFormat="false" ht="27.75" hidden="false" customHeight="true" outlineLevel="0" collapsed="false">
      <c r="A87" s="14" t="s">
        <v>168</v>
      </c>
      <c r="B87" s="14"/>
      <c r="C87" s="14"/>
      <c r="D87" s="14"/>
      <c r="E87" s="14"/>
      <c r="F87" s="14"/>
      <c r="G87" s="14"/>
      <c r="H87" s="14"/>
      <c r="I87" s="14"/>
    </row>
    <row r="88" customFormat="false" ht="27.75" hidden="false" customHeight="true" outlineLevel="0" collapsed="false">
      <c r="A88" s="14" t="s">
        <v>169</v>
      </c>
      <c r="B88" s="14"/>
      <c r="C88" s="14"/>
      <c r="D88" s="14"/>
      <c r="E88" s="14"/>
      <c r="F88" s="14"/>
      <c r="G88" s="14"/>
      <c r="H88" s="14"/>
      <c r="I88" s="14"/>
    </row>
    <row r="89" customFormat="false" ht="27.75" hidden="false" customHeight="true" outlineLevel="0" collapsed="false">
      <c r="A89" s="14" t="s">
        <v>170</v>
      </c>
      <c r="B89" s="14"/>
      <c r="C89" s="14"/>
      <c r="D89" s="14"/>
      <c r="E89" s="14"/>
      <c r="F89" s="14"/>
      <c r="G89" s="14"/>
      <c r="H89" s="14"/>
      <c r="I89" s="14"/>
    </row>
  </sheetData>
  <mergeCells count="6">
    <mergeCell ref="A84:I84"/>
    <mergeCell ref="A85:I85"/>
    <mergeCell ref="A86:I86"/>
    <mergeCell ref="A87:I87"/>
    <mergeCell ref="A88:I88"/>
    <mergeCell ref="A89:I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8"/>
    <col collapsed="false" customWidth="true" hidden="false" outlineLevel="0" max="6" min="6" style="0" width="60"/>
  </cols>
  <sheetData>
    <row r="1" customFormat="false" ht="17.35" hidden="false" customHeight="false" outlineLevel="0" collapsed="false">
      <c r="A1" s="1" t="s">
        <v>171</v>
      </c>
    </row>
    <row r="3" customFormat="false" ht="15" hidden="false" customHeight="false" outlineLevel="0" collapsed="false">
      <c r="A3" s="12" t="s">
        <v>172</v>
      </c>
    </row>
    <row r="4" customFormat="false" ht="15" hidden="false" customHeight="false" outlineLevel="0" collapsed="false">
      <c r="A4" s="3" t="s">
        <v>173</v>
      </c>
      <c r="B4" s="3" t="s">
        <v>174</v>
      </c>
      <c r="C4" s="3" t="s">
        <v>175</v>
      </c>
      <c r="D4" s="3" t="s">
        <v>176</v>
      </c>
      <c r="E4" s="3" t="s">
        <v>177</v>
      </c>
      <c r="F4" s="3" t="s">
        <v>178</v>
      </c>
    </row>
    <row r="5" customFormat="false" ht="30" hidden="false" customHeight="true" outlineLevel="0" collapsed="false">
      <c r="A5" s="6" t="s">
        <v>179</v>
      </c>
      <c r="B5" s="18" t="n">
        <f aca="false">SUM('SH NPC VAT'!E14,'SH NPC VAT'!E15,'SH NPC VAT'!E16,'SH NPC VAT'!E17,'SH NPC VAT'!E18,'SH NPC VAT'!E19)</f>
        <v>79806.59</v>
      </c>
      <c r="C5" s="18" t="n">
        <f aca="false">SUM('SH NPC VAT'!F14,'SH NPC VAT'!F15,'SH NPC VAT'!F16,'SH NPC VAT'!F17,'SH NPC VAT'!F18,'SH NPC VAT'!F19)</f>
        <v>4693.64</v>
      </c>
      <c r="D5" s="8" t="n">
        <f aca="false">B5+C5</f>
        <v>84500.23</v>
      </c>
      <c r="E5" s="28" t="s">
        <v>180</v>
      </c>
      <c r="F5" s="7" t="s">
        <v>181</v>
      </c>
    </row>
    <row r="6" customFormat="false" ht="30" hidden="false" customHeight="true" outlineLevel="0" collapsed="false">
      <c r="A6" s="6" t="s">
        <v>182</v>
      </c>
      <c r="B6" s="18" t="n">
        <f aca="false">SUM('SH NPC PAYE'!H24,'SH NPC PAYE'!H25,'SH NPC PAYE'!H26,'SH NPC PAYE'!H27,'SH NPC PAYE'!H28,'SH NPC PAYE'!H29,'SH NPC PAYE'!H30,'SH NPC PAYE'!H31,'SH NPC PAYE'!H32,'SH NPC PAYE'!H33,'SH NPC PAYE'!H34,'SH NPC PAYE'!H35)</f>
        <v>0</v>
      </c>
      <c r="C6" s="18" t="n">
        <f aca="false">SUM('SH NPC PAYE'!I24,'SH NPC PAYE'!I25,'SH NPC PAYE'!I26,'SH NPC PAYE'!I27,'SH NPC PAYE'!I28,'SH NPC PAYE'!I29,'SH NPC PAYE'!I30,'SH NPC PAYE'!I31,'SH NPC PAYE'!I32,'SH NPC PAYE'!I33,'SH NPC PAYE'!I34,'SH NPC PAYE'!I35)</f>
        <v>0</v>
      </c>
      <c r="D6" s="8" t="n">
        <f aca="false">B6+C6</f>
        <v>0</v>
      </c>
      <c r="E6" s="28" t="s">
        <v>183</v>
      </c>
      <c r="F6" s="7" t="s">
        <v>184</v>
      </c>
    </row>
    <row r="7" customFormat="false" ht="30" hidden="false" customHeight="true" outlineLevel="0" collapsed="false">
      <c r="A7" s="6" t="s">
        <v>185</v>
      </c>
      <c r="B7" s="18" t="n">
        <f aca="false">SUM('SH Enterprises VAT'!E15,'SH Enterprises VAT'!E16,'SH Enterprises VAT'!E17,'SH Enterprises VAT'!E18,'SH Enterprises VAT'!E19,'SH Enterprises VAT'!E20)</f>
        <v>133632.03</v>
      </c>
      <c r="C7" s="18" t="n">
        <f aca="false">SUM('SH Enterprises VAT'!F15,'SH Enterprises VAT'!F16,'SH Enterprises VAT'!F17,'SH Enterprises VAT'!F18,'SH Enterprises VAT'!F19,'SH Enterprises VAT'!F20)</f>
        <v>47354.24</v>
      </c>
      <c r="D7" s="8" t="n">
        <f aca="false">B7+C7</f>
        <v>180986.27</v>
      </c>
      <c r="E7" s="28" t="s">
        <v>186</v>
      </c>
      <c r="F7" s="7" t="s">
        <v>187</v>
      </c>
    </row>
    <row r="8" customFormat="false" ht="30" hidden="false" customHeight="true" outlineLevel="0" collapsed="false">
      <c r="A8" s="6" t="s">
        <v>188</v>
      </c>
      <c r="B8" s="18" t="n">
        <f aca="false">SUM('Amandla PAYE'!H24,'Amandla PAYE'!H25,'Amandla PAYE'!H26,'Amandla PAYE'!H27,'Amandla PAYE'!H28,'Amandla PAYE'!H29,'Amandla PAYE'!H30,'Amandla PAYE'!H31,'Amandla PAYE'!H32,'Amandla PAYE'!H33,'Amandla PAYE'!H34,'Amandla PAYE'!H35)</f>
        <v>58577.04</v>
      </c>
      <c r="C8" s="18" t="n">
        <f aca="false">SUM('Amandla PAYE'!I24,'Amandla PAYE'!I25,'Amandla PAYE'!I26,'Amandla PAYE'!I27,'Amandla PAYE'!I28,'Amandla PAYE'!I29,'Amandla PAYE'!I30,'Amandla PAYE'!I31,'Amandla PAYE'!I32,'Amandla PAYE'!I33,'Amandla PAYE'!I34,'Amandla PAYE'!I35)</f>
        <v>4935.24</v>
      </c>
      <c r="D8" s="8" t="n">
        <f aca="false">B8+C8</f>
        <v>63512.28</v>
      </c>
      <c r="E8" s="28" t="s">
        <v>183</v>
      </c>
      <c r="F8" s="7" t="s">
        <v>189</v>
      </c>
    </row>
    <row r="9" customFormat="false" ht="30" hidden="false" customHeight="true" outlineLevel="0" collapsed="false">
      <c r="A9" s="6" t="s">
        <v>190</v>
      </c>
      <c r="B9" s="18" t="n">
        <f aca="false">SUM('Amandla VAT'!E24,'Amandla VAT'!E25,'Amandla VAT'!E26,'Amandla VAT'!E27,'Amandla VAT'!E28,'Amandla VAT'!E29,'Amandla VAT'!E30,'Amandla VAT'!E31,'Amandla VAT'!E32,'Amandla VAT'!E33,'Amandla VAT'!E34,'Amandla VAT'!E35)</f>
        <v>0</v>
      </c>
      <c r="C9" s="18" t="n">
        <f aca="false">SUM('Amandla VAT'!F24,'Amandla VAT'!F25,'Amandla VAT'!F26,'Amandla VAT'!F27,'Amandla VAT'!F28,'Amandla VAT'!F29,'Amandla VAT'!F30,'Amandla VAT'!F31,'Amandla VAT'!F32,'Amandla VAT'!F33,'Amandla VAT'!F34,'Amandla VAT'!F35)</f>
        <v>0</v>
      </c>
      <c r="D9" s="8" t="n">
        <f aca="false">B9+C9</f>
        <v>0</v>
      </c>
      <c r="E9" s="28" t="s">
        <v>183</v>
      </c>
      <c r="F9" s="7" t="s">
        <v>191</v>
      </c>
    </row>
    <row r="10" customFormat="false" ht="15" hidden="false" customHeight="false" outlineLevel="0" collapsed="false">
      <c r="A10" s="12" t="s">
        <v>176</v>
      </c>
      <c r="B10" s="13" t="n">
        <f aca="false">SUM(B5:B9)</f>
        <v>272015.66</v>
      </c>
      <c r="C10" s="13" t="n">
        <f aca="false">SUM(C5:C9)</f>
        <v>56983.12</v>
      </c>
      <c r="D10" s="29" t="n">
        <f aca="false">SUM(D5:D9)</f>
        <v>328998.78</v>
      </c>
    </row>
    <row r="12" customFormat="false" ht="15" hidden="false" customHeight="false" outlineLevel="0" collapsed="false">
      <c r="A12" s="12" t="s">
        <v>192</v>
      </c>
    </row>
    <row r="13" customFormat="false" ht="57.75" hidden="false" customHeight="true" outlineLevel="0" collapsed="false">
      <c r="A13" s="30" t="s">
        <v>193</v>
      </c>
      <c r="B13" s="14" t="s">
        <v>194</v>
      </c>
      <c r="C13" s="14"/>
      <c r="D13" s="14"/>
      <c r="E13" s="14"/>
      <c r="F13" s="14"/>
    </row>
    <row r="14" customFormat="false" ht="57.75" hidden="false" customHeight="true" outlineLevel="0" collapsed="false">
      <c r="A14" s="30" t="s">
        <v>195</v>
      </c>
      <c r="B14" s="14" t="s">
        <v>196</v>
      </c>
      <c r="C14" s="14"/>
      <c r="D14" s="14"/>
      <c r="E14" s="14"/>
      <c r="F14" s="14"/>
    </row>
    <row r="15" customFormat="false" ht="57.75" hidden="false" customHeight="true" outlineLevel="0" collapsed="false">
      <c r="A15" s="30" t="s">
        <v>197</v>
      </c>
      <c r="B15" s="14" t="s">
        <v>198</v>
      </c>
      <c r="C15" s="14"/>
      <c r="D15" s="14"/>
      <c r="E15" s="14"/>
      <c r="F15" s="14"/>
    </row>
    <row r="16" customFormat="false" ht="57.75" hidden="false" customHeight="true" outlineLevel="0" collapsed="false">
      <c r="A16" s="30" t="s">
        <v>199</v>
      </c>
      <c r="B16" s="14" t="s">
        <v>200</v>
      </c>
      <c r="C16" s="14"/>
      <c r="D16" s="14"/>
      <c r="E16" s="14"/>
      <c r="F16" s="14"/>
    </row>
    <row r="17" customFormat="false" ht="57.75" hidden="false" customHeight="true" outlineLevel="0" collapsed="false">
      <c r="A17" s="30" t="s">
        <v>201</v>
      </c>
      <c r="B17" s="14" t="s">
        <v>202</v>
      </c>
      <c r="C17" s="14"/>
      <c r="D17" s="14"/>
      <c r="E17" s="14"/>
      <c r="F17" s="14"/>
    </row>
    <row r="18" customFormat="false" ht="57.75" hidden="false" customHeight="true" outlineLevel="0" collapsed="false">
      <c r="A18" s="30" t="s">
        <v>203</v>
      </c>
      <c r="B18" s="14" t="s">
        <v>204</v>
      </c>
      <c r="C18" s="14"/>
      <c r="D18" s="14"/>
      <c r="E18" s="14"/>
      <c r="F18" s="14"/>
    </row>
    <row r="19" customFormat="false" ht="57.75" hidden="false" customHeight="true" outlineLevel="0" collapsed="false">
      <c r="A19" s="30" t="s">
        <v>205</v>
      </c>
      <c r="B19" s="14" t="s">
        <v>206</v>
      </c>
      <c r="C19" s="14"/>
      <c r="D19" s="14"/>
      <c r="E19" s="14"/>
      <c r="F19" s="14"/>
    </row>
    <row r="20" customFormat="false" ht="57.75" hidden="false" customHeight="true" outlineLevel="0" collapsed="false">
      <c r="A20" s="30" t="s">
        <v>207</v>
      </c>
      <c r="B20" s="14" t="s">
        <v>208</v>
      </c>
      <c r="C20" s="14"/>
      <c r="D20" s="14"/>
      <c r="E20" s="14"/>
      <c r="F20" s="14"/>
    </row>
  </sheetData>
  <mergeCells count="8">
    <mergeCell ref="B13:F13"/>
    <mergeCell ref="B14:F14"/>
    <mergeCell ref="B15:F15"/>
    <mergeCell ref="B16:F16"/>
    <mergeCell ref="B17:F17"/>
    <mergeCell ref="B18:F18"/>
    <mergeCell ref="B19:F19"/>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3"/>
    <col collapsed="false" customWidth="true" hidden="false" outlineLevel="0" max="5" min="4" style="0" width="12"/>
    <col collapsed="false" customWidth="true" hidden="false" outlineLevel="0" max="6" min="6" style="0" width="13"/>
    <col collapsed="false" customWidth="true" hidden="false" outlineLevel="0" max="7" min="7" style="0" width="15"/>
    <col collapsed="false" customWidth="true" hidden="false" outlineLevel="0" max="9" min="8" style="0" width="11"/>
    <col collapsed="false" customWidth="true" hidden="false" outlineLevel="0" max="10" min="10" style="0" width="16"/>
    <col collapsed="false" customWidth="true" hidden="false" outlineLevel="0" max="11" min="11" style="0" width="26"/>
    <col collapsed="false" customWidth="true" hidden="false" outlineLevel="0" max="12" min="12" style="0" width="13"/>
    <col collapsed="false" customWidth="true" hidden="false" outlineLevel="0" max="13" min="13" style="0" width="18"/>
  </cols>
  <sheetData>
    <row r="1" customFormat="false" ht="17.35" hidden="false" customHeight="false" outlineLevel="0" collapsed="false">
      <c r="A1" s="1" t="s">
        <v>209</v>
      </c>
    </row>
    <row r="2" customFormat="false" ht="15" hidden="false" customHeight="false" outlineLevel="0" collapsed="false">
      <c r="A2" s="15" t="s">
        <v>210</v>
      </c>
    </row>
    <row r="4" customFormat="false" ht="35.05" hidden="false" customHeight="false" outlineLevel="0" collapsed="false">
      <c r="A4" s="3" t="s">
        <v>211</v>
      </c>
      <c r="B4" s="3" t="s">
        <v>212</v>
      </c>
      <c r="C4" s="3" t="s">
        <v>213</v>
      </c>
      <c r="D4" s="3" t="s">
        <v>214</v>
      </c>
      <c r="E4" s="3" t="s">
        <v>215</v>
      </c>
      <c r="F4" s="3" t="s">
        <v>216</v>
      </c>
      <c r="G4" s="3" t="s">
        <v>217</v>
      </c>
      <c r="H4" s="3" t="s">
        <v>218</v>
      </c>
      <c r="I4" s="3" t="s">
        <v>175</v>
      </c>
      <c r="J4" s="3" t="s">
        <v>219</v>
      </c>
      <c r="K4" s="3" t="s">
        <v>220</v>
      </c>
      <c r="L4" s="3" t="s">
        <v>221</v>
      </c>
      <c r="M4" s="3" t="s">
        <v>222</v>
      </c>
    </row>
    <row r="5" customFormat="false" ht="15" hidden="false" customHeight="false" outlineLevel="0" collapsed="false">
      <c r="A5" s="31" t="s">
        <v>223</v>
      </c>
      <c r="B5" s="6" t="s">
        <v>224</v>
      </c>
      <c r="C5" s="32" t="n">
        <v>45742.29</v>
      </c>
      <c r="D5" s="32" t="n">
        <v>11010.32</v>
      </c>
      <c r="E5" s="32" t="n">
        <v>20018.74</v>
      </c>
      <c r="F5" s="32" t="n">
        <v>45742.29</v>
      </c>
      <c r="G5" s="32" t="n">
        <f aca="false">C5+D5+E5-F5</f>
        <v>31029.06</v>
      </c>
      <c r="H5" s="32" t="n">
        <v>0</v>
      </c>
      <c r="I5" s="32" t="n">
        <v>0</v>
      </c>
      <c r="J5" s="32" t="n">
        <v>31029.06</v>
      </c>
      <c r="K5" s="6" t="s">
        <v>225</v>
      </c>
      <c r="L5" s="32" t="n">
        <v>87666.83</v>
      </c>
      <c r="M5" s="32" t="n">
        <v>41924.54</v>
      </c>
    </row>
    <row r="6" customFormat="false" ht="15" hidden="false" customHeight="false" outlineLevel="0" collapsed="false">
      <c r="A6" s="31" t="s">
        <v>226</v>
      </c>
      <c r="B6" s="6" t="s">
        <v>227</v>
      </c>
      <c r="C6" s="32" t="n">
        <v>48545.07</v>
      </c>
      <c r="D6" s="32" t="n">
        <v>11250.83</v>
      </c>
      <c r="E6" s="32" t="n">
        <v>20501.98</v>
      </c>
      <c r="F6" s="32" t="n">
        <v>48545.07</v>
      </c>
      <c r="G6" s="32" t="n">
        <f aca="false">C6+D6+E6-F6</f>
        <v>31752.81</v>
      </c>
      <c r="H6" s="32" t="n">
        <v>2901.38</v>
      </c>
      <c r="I6" s="32" t="n">
        <v>549.56</v>
      </c>
      <c r="J6" s="32" t="n">
        <v>0</v>
      </c>
      <c r="K6" s="6" t="s">
        <v>228</v>
      </c>
      <c r="L6" s="32" t="n">
        <v>101437.5</v>
      </c>
      <c r="M6" s="32" t="n">
        <v>94816.97</v>
      </c>
    </row>
    <row r="7" customFormat="false" ht="15" hidden="false" customHeight="false" outlineLevel="0" collapsed="false">
      <c r="A7" s="31" t="s">
        <v>229</v>
      </c>
      <c r="B7" s="6" t="s">
        <v>230</v>
      </c>
      <c r="C7" s="32" t="n">
        <v>46470.67</v>
      </c>
      <c r="D7" s="32" t="n">
        <v>11082.08</v>
      </c>
      <c r="E7" s="32" t="n">
        <v>20033.24</v>
      </c>
      <c r="F7" s="32" t="n">
        <v>0</v>
      </c>
      <c r="G7" s="32" t="n">
        <f aca="false">C7+D7+E7-F7</f>
        <v>77585.99</v>
      </c>
      <c r="H7" s="32" t="n">
        <v>7758.6</v>
      </c>
      <c r="I7" s="32" t="n">
        <v>697.43</v>
      </c>
      <c r="J7" s="32" t="n">
        <v>86042.02</v>
      </c>
      <c r="K7" s="6" t="s">
        <v>231</v>
      </c>
      <c r="L7" s="32" t="n">
        <v>101250</v>
      </c>
      <c r="M7" s="32" t="n">
        <v>196066.97</v>
      </c>
    </row>
    <row r="8" customFormat="false" ht="15" hidden="false" customHeight="false" outlineLevel="0" collapsed="false">
      <c r="A8" s="31" t="s">
        <v>232</v>
      </c>
      <c r="B8" s="6" t="s">
        <v>233</v>
      </c>
      <c r="C8" s="32" t="n">
        <v>48455.4</v>
      </c>
      <c r="D8" s="32" t="n">
        <v>11253.42</v>
      </c>
      <c r="E8" s="32" t="n">
        <v>20303.58</v>
      </c>
      <c r="F8" s="32" t="n">
        <v>0</v>
      </c>
      <c r="G8" s="32" t="n">
        <f aca="false">C8+D8+E8-F8</f>
        <v>80012.4</v>
      </c>
      <c r="H8" s="32" t="n">
        <v>0</v>
      </c>
      <c r="I8" s="32" t="n">
        <v>0</v>
      </c>
      <c r="J8" s="32" t="n">
        <v>80012.4</v>
      </c>
      <c r="K8" s="6" t="s">
        <v>231</v>
      </c>
      <c r="L8" s="32" t="n">
        <v>101062.5</v>
      </c>
      <c r="M8" s="32" t="n">
        <v>297129.47</v>
      </c>
    </row>
    <row r="9" customFormat="false" ht="15" hidden="false" customHeight="false" outlineLevel="0" collapsed="false">
      <c r="A9" s="31" t="s">
        <v>234</v>
      </c>
      <c r="B9" s="6" t="s">
        <v>235</v>
      </c>
      <c r="C9" s="32" t="n">
        <v>42377.22</v>
      </c>
      <c r="D9" s="32" t="n">
        <v>11103.98</v>
      </c>
      <c r="E9" s="32" t="n">
        <v>20323.28</v>
      </c>
      <c r="F9" s="32" t="n">
        <v>42377.22</v>
      </c>
      <c r="G9" s="32" t="n">
        <f aca="false">C9+D9+E9-F9</f>
        <v>31427.26</v>
      </c>
      <c r="H9" s="32" t="n">
        <v>0</v>
      </c>
      <c r="I9" s="32" t="n">
        <v>0</v>
      </c>
      <c r="J9" s="32" t="n">
        <v>31427.26</v>
      </c>
      <c r="K9" s="6" t="s">
        <v>236</v>
      </c>
      <c r="L9" s="32" t="n">
        <v>103687.5</v>
      </c>
      <c r="M9" s="32" t="n">
        <v>358439.75</v>
      </c>
    </row>
    <row r="10" customFormat="false" ht="15" hidden="false" customHeight="false" outlineLevel="0" collapsed="false">
      <c r="A10" s="31" t="s">
        <v>237</v>
      </c>
      <c r="B10" s="6" t="s">
        <v>238</v>
      </c>
      <c r="C10" s="32" t="n">
        <v>45430.68</v>
      </c>
      <c r="D10" s="32" t="n">
        <v>11010.31</v>
      </c>
      <c r="E10" s="32" t="n">
        <v>20121.12</v>
      </c>
      <c r="F10" s="32" t="n">
        <v>45430.68</v>
      </c>
      <c r="G10" s="32" t="n">
        <f aca="false">C10+D10+E10-F10</f>
        <v>31131.43</v>
      </c>
      <c r="H10" s="32" t="n">
        <v>3113.14</v>
      </c>
      <c r="I10" s="32" t="n">
        <v>1257.63</v>
      </c>
      <c r="J10" s="32" t="n">
        <v>35502.2</v>
      </c>
      <c r="K10" s="6" t="s">
        <v>239</v>
      </c>
      <c r="L10" s="32" t="n">
        <v>101329.64</v>
      </c>
      <c r="M10" s="32" t="n">
        <v>0</v>
      </c>
    </row>
    <row r="11" customFormat="false" ht="15" hidden="false" customHeight="false" outlineLevel="0" collapsed="false">
      <c r="A11" s="31" t="s">
        <v>240</v>
      </c>
      <c r="B11" s="6" t="s">
        <v>241</v>
      </c>
      <c r="C11" s="32" t="n">
        <v>43271.72</v>
      </c>
      <c r="D11" s="32" t="n">
        <v>10841.15</v>
      </c>
      <c r="E11" s="32" t="n">
        <v>19712.28</v>
      </c>
      <c r="F11" s="32" t="n">
        <v>0</v>
      </c>
      <c r="G11" s="32" t="n">
        <f aca="false">C11+D11+E11-F11</f>
        <v>73825.15</v>
      </c>
      <c r="H11" s="32" t="n">
        <v>7382.52</v>
      </c>
      <c r="I11" s="32" t="n">
        <v>2247.6</v>
      </c>
      <c r="J11" s="32" t="n">
        <v>83455.27</v>
      </c>
      <c r="K11" s="6" t="s">
        <v>239</v>
      </c>
      <c r="L11" s="32" t="n">
        <v>104250</v>
      </c>
      <c r="M11" s="32" t="n">
        <v>104250</v>
      </c>
    </row>
    <row r="12" customFormat="false" ht="15" hidden="false" customHeight="false" outlineLevel="0" collapsed="false">
      <c r="A12" s="31" t="s">
        <v>242</v>
      </c>
      <c r="B12" s="6" t="s">
        <v>243</v>
      </c>
      <c r="C12" s="32" t="n">
        <v>43271.53</v>
      </c>
      <c r="D12" s="32" t="n">
        <v>11292.93</v>
      </c>
      <c r="E12" s="32" t="n">
        <v>20615.84</v>
      </c>
      <c r="F12" s="32" t="n">
        <v>0</v>
      </c>
      <c r="G12" s="32" t="n">
        <f aca="false">C12+D12+E12-F12</f>
        <v>75180.3</v>
      </c>
      <c r="H12" s="32" t="n">
        <v>7518.02</v>
      </c>
      <c r="I12" s="32" t="n">
        <v>1540.64</v>
      </c>
      <c r="J12" s="32" t="n">
        <v>84238.96</v>
      </c>
      <c r="K12" s="6" t="s">
        <v>239</v>
      </c>
      <c r="L12" s="32" t="n">
        <v>114187.5</v>
      </c>
      <c r="M12" s="32" t="n">
        <v>218437.5</v>
      </c>
    </row>
    <row r="13" customFormat="false" ht="15" hidden="false" customHeight="false" outlineLevel="0" collapsed="false">
      <c r="A13" s="31" t="s">
        <v>244</v>
      </c>
      <c r="B13" s="6" t="s">
        <v>245</v>
      </c>
      <c r="C13" s="32" t="n">
        <v>43451.53</v>
      </c>
      <c r="D13" s="32" t="n">
        <v>11319.37</v>
      </c>
      <c r="E13" s="32" t="n">
        <v>20668.72</v>
      </c>
      <c r="F13" s="32" t="n">
        <v>0</v>
      </c>
      <c r="G13" s="32" t="n">
        <f aca="false">C13+D13+E13-F13</f>
        <v>75439.62</v>
      </c>
      <c r="H13" s="32" t="n">
        <v>7543.96</v>
      </c>
      <c r="I13" s="32" t="n">
        <v>606.09</v>
      </c>
      <c r="J13" s="32" t="n">
        <v>83589.67</v>
      </c>
      <c r="K13" s="6" t="s">
        <v>246</v>
      </c>
      <c r="L13" s="32" t="n">
        <v>114187.5</v>
      </c>
      <c r="M13" s="32" t="n">
        <v>332625</v>
      </c>
    </row>
    <row r="14" customFormat="false" ht="15" hidden="false" customHeight="false" outlineLevel="0" collapsed="false">
      <c r="A14" s="31" t="s">
        <v>247</v>
      </c>
      <c r="B14" s="6" t="s">
        <v>248</v>
      </c>
      <c r="C14" s="32" t="n">
        <v>48998.2</v>
      </c>
      <c r="D14" s="32" t="n">
        <v>11048.5</v>
      </c>
      <c r="E14" s="32" t="n">
        <v>19932.14</v>
      </c>
      <c r="F14" s="32" t="n">
        <v>0</v>
      </c>
      <c r="G14" s="32" t="n">
        <f aca="false">C14+D14+E14-F14</f>
        <v>79978.84</v>
      </c>
      <c r="H14" s="32" t="n">
        <v>0</v>
      </c>
      <c r="I14" s="32" t="n">
        <v>0</v>
      </c>
      <c r="J14" s="32" t="n">
        <v>79978.84</v>
      </c>
      <c r="K14" s="6" t="s">
        <v>249</v>
      </c>
      <c r="L14" s="32" t="n">
        <v>101418.75</v>
      </c>
      <c r="M14" s="32" t="n">
        <v>434043.75</v>
      </c>
    </row>
    <row r="15" customFormat="false" ht="15" hidden="false" customHeight="false" outlineLevel="0" collapsed="false">
      <c r="A15" s="31" t="s">
        <v>250</v>
      </c>
      <c r="B15" s="6" t="s">
        <v>251</v>
      </c>
      <c r="C15" s="32" t="n">
        <v>41123.39</v>
      </c>
      <c r="D15" s="32" t="n">
        <v>11240.25</v>
      </c>
      <c r="E15" s="32" t="n">
        <v>20623.14</v>
      </c>
      <c r="F15" s="32" t="n">
        <v>41123.39</v>
      </c>
      <c r="G15" s="32" t="n">
        <f aca="false">C15+D15+E15-F15</f>
        <v>31863.39</v>
      </c>
      <c r="H15" s="32" t="n">
        <v>0</v>
      </c>
      <c r="I15" s="32" t="n">
        <v>0</v>
      </c>
      <c r="J15" s="32" t="n">
        <v>31863.39</v>
      </c>
      <c r="K15" s="6" t="s">
        <v>252</v>
      </c>
      <c r="L15" s="32" t="n">
        <v>100218.75</v>
      </c>
      <c r="M15" s="32" t="n">
        <v>493139.11</v>
      </c>
    </row>
    <row r="16" customFormat="false" ht="15" hidden="false" customHeight="false" outlineLevel="0" collapsed="false">
      <c r="A16" s="31" t="s">
        <v>253</v>
      </c>
      <c r="B16" s="6" t="s">
        <v>254</v>
      </c>
      <c r="C16" s="32" t="n">
        <v>41452.31</v>
      </c>
      <c r="D16" s="32" t="n">
        <v>10789.5</v>
      </c>
      <c r="E16" s="32" t="n">
        <v>19721.64</v>
      </c>
      <c r="F16" s="32" t="n">
        <v>41452.31</v>
      </c>
      <c r="G16" s="32" t="n">
        <f aca="false">C16+D16+E16-F16</f>
        <v>30511.14</v>
      </c>
      <c r="H16" s="32" t="n">
        <v>3051.11</v>
      </c>
      <c r="I16" s="32" t="n">
        <v>48.15</v>
      </c>
      <c r="J16" s="32" t="n">
        <v>33609.45</v>
      </c>
      <c r="K16" s="6" t="s">
        <v>255</v>
      </c>
      <c r="L16" s="32" t="n">
        <v>103084.82</v>
      </c>
      <c r="M16" s="32" t="n">
        <v>0</v>
      </c>
    </row>
    <row r="17" customFormat="false" ht="15" hidden="false" customHeight="false" outlineLevel="0" collapsed="false">
      <c r="A17" s="31" t="s">
        <v>256</v>
      </c>
      <c r="B17" s="6" t="s">
        <v>257</v>
      </c>
      <c r="C17" s="32" t="n">
        <v>43262.19</v>
      </c>
      <c r="D17" s="32" t="n">
        <v>10559</v>
      </c>
      <c r="E17" s="32" t="n">
        <v>19209.5</v>
      </c>
      <c r="F17" s="32" t="n">
        <v>43262.19</v>
      </c>
      <c r="G17" s="32" t="n">
        <f aca="false">C17+D17+E17-F17</f>
        <v>29768.5</v>
      </c>
      <c r="H17" s="32" t="n">
        <v>2976.85</v>
      </c>
      <c r="I17" s="32" t="n">
        <v>408.63</v>
      </c>
      <c r="J17" s="32" t="n">
        <v>33136.01</v>
      </c>
      <c r="K17" s="6" t="s">
        <v>258</v>
      </c>
      <c r="L17" s="32" t="n">
        <v>108675</v>
      </c>
      <c r="M17" s="32" t="n">
        <v>65412.81</v>
      </c>
    </row>
    <row r="18" customFormat="false" ht="15" hidden="false" customHeight="false" outlineLevel="0" collapsed="false">
      <c r="A18" s="31" t="s">
        <v>259</v>
      </c>
      <c r="B18" s="6" t="s">
        <v>260</v>
      </c>
      <c r="C18" s="32" t="n">
        <v>46204.45</v>
      </c>
      <c r="D18" s="32" t="n">
        <v>11468.36</v>
      </c>
      <c r="E18" s="32" t="n">
        <v>20924.02</v>
      </c>
      <c r="F18" s="32" t="n">
        <v>0</v>
      </c>
      <c r="G18" s="32" t="n">
        <f aca="false">C18+D18+E18-F18</f>
        <v>78596.83</v>
      </c>
      <c r="H18" s="32" t="n">
        <v>0</v>
      </c>
      <c r="I18" s="32" t="n">
        <v>0</v>
      </c>
      <c r="J18" s="32" t="n">
        <v>78596.83</v>
      </c>
      <c r="K18" s="6" t="s">
        <v>261</v>
      </c>
      <c r="L18" s="32" t="n">
        <v>121650</v>
      </c>
      <c r="M18" s="32" t="n">
        <v>187062.81</v>
      </c>
    </row>
    <row r="19" customFormat="false" ht="15" hidden="false" customHeight="false" outlineLevel="0" collapsed="false">
      <c r="A19" s="31" t="s">
        <v>262</v>
      </c>
      <c r="B19" s="6" t="s">
        <v>263</v>
      </c>
      <c r="C19" s="32" t="n">
        <v>47952.54</v>
      </c>
      <c r="D19" s="32" t="n">
        <v>11404.7</v>
      </c>
      <c r="E19" s="32" t="n">
        <v>20860.44</v>
      </c>
      <c r="F19" s="32" t="n">
        <v>47952.54</v>
      </c>
      <c r="G19" s="32" t="n">
        <f aca="false">C19+D19+E19-F19</f>
        <v>32265.14</v>
      </c>
      <c r="H19" s="32" t="n">
        <v>3226.51</v>
      </c>
      <c r="I19" s="32" t="n">
        <v>243.1</v>
      </c>
      <c r="J19" s="32" t="n">
        <v>35734.75</v>
      </c>
      <c r="K19" s="6" t="s">
        <v>264</v>
      </c>
      <c r="L19" s="32" t="n">
        <v>120075</v>
      </c>
      <c r="M19" s="32" t="n">
        <v>259185.27</v>
      </c>
    </row>
    <row r="20" customFormat="false" ht="15" hidden="false" customHeight="false" outlineLevel="0" collapsed="false">
      <c r="A20" s="31" t="s">
        <v>265</v>
      </c>
      <c r="B20" s="6" t="s">
        <v>266</v>
      </c>
      <c r="C20" s="32" t="n">
        <v>47436.43</v>
      </c>
      <c r="D20" s="32" t="n">
        <v>11344.32</v>
      </c>
      <c r="E20" s="32" t="n">
        <v>20671.76</v>
      </c>
      <c r="F20" s="32" t="n">
        <v>47436.43</v>
      </c>
      <c r="G20" s="32" t="n">
        <f aca="false">C20+D20+E20-F20</f>
        <v>32016.08</v>
      </c>
      <c r="H20" s="32" t="n">
        <v>0</v>
      </c>
      <c r="I20" s="32" t="n">
        <v>0</v>
      </c>
      <c r="J20" s="32" t="n">
        <v>32016.08</v>
      </c>
      <c r="K20" s="6" t="s">
        <v>267</v>
      </c>
      <c r="L20" s="32" t="n">
        <v>115575</v>
      </c>
      <c r="M20" s="32" t="n">
        <v>327323.84</v>
      </c>
    </row>
    <row r="21" customFormat="false" ht="15" hidden="false" customHeight="false" outlineLevel="0" collapsed="false">
      <c r="A21" s="31" t="s">
        <v>268</v>
      </c>
      <c r="B21" s="6" t="s">
        <v>269</v>
      </c>
      <c r="C21" s="32" t="n">
        <v>46280.13</v>
      </c>
      <c r="D21" s="32" t="n">
        <v>11280.32</v>
      </c>
      <c r="E21" s="32" t="n">
        <v>20611.68</v>
      </c>
      <c r="F21" s="32" t="n">
        <v>46280.13</v>
      </c>
      <c r="G21" s="32" t="n">
        <f aca="false">C21+D21+E21-F21</f>
        <v>31892</v>
      </c>
      <c r="H21" s="32" t="n">
        <v>0</v>
      </c>
      <c r="I21" s="32" t="n">
        <v>0</v>
      </c>
      <c r="J21" s="32" t="n">
        <v>31892</v>
      </c>
      <c r="K21" s="6" t="s">
        <v>270</v>
      </c>
      <c r="L21" s="32" t="n">
        <v>112568.95</v>
      </c>
      <c r="M21" s="32" t="n">
        <v>393612.66</v>
      </c>
    </row>
    <row r="22" customFormat="false" ht="15" hidden="false" customHeight="false" outlineLevel="0" collapsed="false">
      <c r="A22" s="31" t="s">
        <v>271</v>
      </c>
      <c r="B22" s="6" t="s">
        <v>272</v>
      </c>
      <c r="C22" s="32" t="n">
        <v>46245.7</v>
      </c>
      <c r="D22" s="32" t="n">
        <v>11131.32</v>
      </c>
      <c r="E22" s="32" t="n">
        <v>20316.32</v>
      </c>
      <c r="F22" s="32" t="n">
        <v>0</v>
      </c>
      <c r="G22" s="32" t="n">
        <f aca="false">C22+D22+E22-F22</f>
        <v>77693.34</v>
      </c>
      <c r="H22" s="32" t="n">
        <v>7462.85</v>
      </c>
      <c r="I22" s="32" t="n">
        <v>2068.65</v>
      </c>
      <c r="J22" s="32" t="n">
        <v>84160.06</v>
      </c>
      <c r="K22" s="6" t="s">
        <v>273</v>
      </c>
      <c r="L22" s="32" t="n">
        <v>108992.08</v>
      </c>
      <c r="M22" s="32" t="n">
        <v>0</v>
      </c>
    </row>
    <row r="23" customFormat="false" ht="15" hidden="false" customHeight="false" outlineLevel="0" collapsed="false">
      <c r="A23" s="31" t="s">
        <v>274</v>
      </c>
      <c r="B23" s="6" t="s">
        <v>275</v>
      </c>
      <c r="C23" s="32" t="n">
        <v>46245.68</v>
      </c>
      <c r="D23" s="32" t="n">
        <v>10895.56</v>
      </c>
      <c r="E23" s="32" t="n">
        <v>19844.8</v>
      </c>
      <c r="F23" s="32" t="n">
        <v>0</v>
      </c>
      <c r="G23" s="32" t="n">
        <f aca="false">C23+D23+E23-F23</f>
        <v>76986.04</v>
      </c>
      <c r="H23" s="32" t="n">
        <v>7698.61</v>
      </c>
      <c r="I23" s="32" t="n">
        <v>1408.42</v>
      </c>
      <c r="J23" s="32" t="n">
        <v>86093.07</v>
      </c>
      <c r="K23" s="6" t="s">
        <v>273</v>
      </c>
      <c r="L23" s="32" t="n">
        <v>106664.06</v>
      </c>
      <c r="M23" s="32" t="n">
        <v>106664.06</v>
      </c>
    </row>
    <row r="24" customFormat="false" ht="15" hidden="false" customHeight="false" outlineLevel="0" collapsed="false">
      <c r="A24" s="31" t="s">
        <v>276</v>
      </c>
      <c r="B24" s="6" t="s">
        <v>277</v>
      </c>
      <c r="C24" s="32" t="n">
        <v>53872.03</v>
      </c>
      <c r="D24" s="32" t="n">
        <v>11083.47</v>
      </c>
      <c r="E24" s="32" t="n">
        <v>19847.14</v>
      </c>
      <c r="F24" s="32" t="n">
        <v>0</v>
      </c>
      <c r="G24" s="32" t="n">
        <f aca="false">C24+D24+E24-F24</f>
        <v>84802.64</v>
      </c>
      <c r="H24" s="32" t="n">
        <v>0</v>
      </c>
      <c r="I24" s="32" t="n">
        <v>0</v>
      </c>
      <c r="J24" s="32" t="n">
        <v>84802.64</v>
      </c>
      <c r="K24" s="6" t="s">
        <v>278</v>
      </c>
      <c r="L24" s="32" t="n">
        <v>103619.53</v>
      </c>
      <c r="M24" s="32" t="n">
        <v>210283.59</v>
      </c>
    </row>
    <row r="25" customFormat="false" ht="15" hidden="false" customHeight="false" outlineLevel="0" collapsed="false">
      <c r="A25" s="31" t="s">
        <v>279</v>
      </c>
      <c r="B25" s="6" t="s">
        <v>280</v>
      </c>
      <c r="C25" s="32" t="n">
        <v>44266.8</v>
      </c>
      <c r="D25" s="32" t="n">
        <v>10983.71</v>
      </c>
      <c r="E25" s="32" t="n">
        <v>20245.62</v>
      </c>
      <c r="F25" s="32" t="n">
        <v>0</v>
      </c>
      <c r="G25" s="32" t="n">
        <f aca="false">C25+D25+E25-F25</f>
        <v>75496.13</v>
      </c>
      <c r="H25" s="32" t="n">
        <v>0</v>
      </c>
      <c r="I25" s="32" t="n">
        <v>0</v>
      </c>
      <c r="J25" s="32" t="n">
        <v>75496.13</v>
      </c>
      <c r="K25" s="6" t="s">
        <v>281</v>
      </c>
      <c r="L25" s="32" t="n">
        <v>98456.25</v>
      </c>
      <c r="M25" s="32" t="n">
        <v>308739.84</v>
      </c>
    </row>
    <row r="26" customFormat="false" ht="15" hidden="false" customHeight="false" outlineLevel="0" collapsed="false">
      <c r="A26" s="31" t="s">
        <v>282</v>
      </c>
      <c r="B26" s="6" t="s">
        <v>283</v>
      </c>
      <c r="C26" s="32" t="n">
        <v>82596.14</v>
      </c>
      <c r="D26" s="32" t="n">
        <v>13893.2</v>
      </c>
      <c r="E26" s="32" t="n">
        <v>24028.44</v>
      </c>
      <c r="F26" s="32" t="n">
        <v>82596.14</v>
      </c>
      <c r="G26" s="32" t="n">
        <f aca="false">C26+D26+E26-F26</f>
        <v>37921.64</v>
      </c>
      <c r="H26" s="32" t="n">
        <v>0</v>
      </c>
      <c r="I26" s="32" t="n">
        <v>0</v>
      </c>
      <c r="J26" s="32" t="n">
        <v>37921.64</v>
      </c>
      <c r="K26" s="6" t="s">
        <v>284</v>
      </c>
      <c r="L26" s="32" t="n">
        <v>107715.63</v>
      </c>
      <c r="M26" s="32" t="n">
        <v>333859.33</v>
      </c>
    </row>
    <row r="27" customFormat="false" ht="15" hidden="false" customHeight="false" outlineLevel="0" collapsed="false">
      <c r="A27" s="31" t="s">
        <v>285</v>
      </c>
      <c r="B27" s="6" t="s">
        <v>286</v>
      </c>
      <c r="C27" s="32" t="n">
        <v>47539.25</v>
      </c>
      <c r="D27" s="32" t="n">
        <v>11618.41</v>
      </c>
      <c r="E27" s="32" t="n">
        <v>21259.34</v>
      </c>
      <c r="F27" s="32" t="n">
        <v>47539.25</v>
      </c>
      <c r="G27" s="32" t="n">
        <f aca="false">C27+D27+E27-F27</f>
        <v>32877.75</v>
      </c>
      <c r="H27" s="32" t="n">
        <v>0</v>
      </c>
      <c r="I27" s="32" t="n">
        <v>0</v>
      </c>
      <c r="J27" s="32" t="n">
        <v>32877.75</v>
      </c>
      <c r="K27" s="6" t="s">
        <v>287</v>
      </c>
      <c r="L27" s="32" t="n">
        <v>97875</v>
      </c>
      <c r="M27" s="32" t="n">
        <v>384195.08</v>
      </c>
    </row>
    <row r="28" customFormat="false" ht="15" hidden="false" customHeight="false" outlineLevel="0" collapsed="false">
      <c r="A28" s="31" t="s">
        <v>288</v>
      </c>
      <c r="B28" s="6" t="s">
        <v>289</v>
      </c>
      <c r="C28" s="32" t="n">
        <v>45666.86</v>
      </c>
      <c r="D28" s="32" t="n">
        <v>12188.07</v>
      </c>
      <c r="E28" s="32" t="n">
        <v>22654.34</v>
      </c>
      <c r="F28" s="32" t="n">
        <v>45666.86</v>
      </c>
      <c r="G28" s="32" t="n">
        <f aca="false">C28+D28+E28-F28</f>
        <v>34842.41</v>
      </c>
      <c r="H28" s="32" t="n">
        <v>0</v>
      </c>
      <c r="I28" s="32" t="n">
        <v>0</v>
      </c>
      <c r="J28" s="32" t="n">
        <v>34842.41</v>
      </c>
      <c r="K28" s="6" t="s">
        <v>290</v>
      </c>
      <c r="L28" s="32" t="n">
        <v>133350</v>
      </c>
      <c r="M28" s="32" t="n">
        <v>0</v>
      </c>
    </row>
    <row r="29" customFormat="false" ht="15" hidden="false" customHeight="false" outlineLevel="0" collapsed="false">
      <c r="A29" s="31" t="s">
        <v>291</v>
      </c>
      <c r="B29" s="6" t="s">
        <v>292</v>
      </c>
      <c r="C29" s="32" t="n">
        <v>46178.7</v>
      </c>
      <c r="D29" s="32" t="n">
        <v>12074.11</v>
      </c>
      <c r="E29" s="32" t="n">
        <v>22386.9</v>
      </c>
      <c r="F29" s="32" t="n">
        <v>46178.7</v>
      </c>
      <c r="G29" s="32" t="n">
        <f aca="false">C29+D29+E29-F29</f>
        <v>34461.01</v>
      </c>
      <c r="H29" s="32" t="n">
        <v>0</v>
      </c>
      <c r="I29" s="32" t="n">
        <v>0</v>
      </c>
      <c r="J29" s="32" t="n">
        <v>34461.01</v>
      </c>
      <c r="K29" s="6" t="s">
        <v>293</v>
      </c>
      <c r="L29" s="32" t="n">
        <v>135303.5</v>
      </c>
      <c r="M29" s="32" t="n">
        <v>89124.8</v>
      </c>
    </row>
    <row r="30" customFormat="false" ht="15" hidden="false" customHeight="false" outlineLevel="0" collapsed="false">
      <c r="A30" s="31" t="s">
        <v>294</v>
      </c>
      <c r="B30" s="6" t="s">
        <v>295</v>
      </c>
      <c r="C30" s="32" t="n">
        <v>52212.46</v>
      </c>
      <c r="D30" s="32" t="n">
        <v>12411.52</v>
      </c>
      <c r="E30" s="32" t="n">
        <v>22722.42</v>
      </c>
      <c r="F30" s="32" t="n">
        <v>52212.46</v>
      </c>
      <c r="G30" s="32" t="n">
        <f aca="false">C30+D30+E30-F30</f>
        <v>35133.94</v>
      </c>
      <c r="H30" s="32" t="n">
        <v>0</v>
      </c>
      <c r="I30" s="32" t="n">
        <v>0</v>
      </c>
      <c r="J30" s="32" t="n">
        <v>35133.94</v>
      </c>
      <c r="K30" s="6" t="s">
        <v>296</v>
      </c>
      <c r="L30" s="32" t="n">
        <v>146299.39</v>
      </c>
      <c r="M30" s="32" t="n">
        <v>183211.73</v>
      </c>
    </row>
    <row r="31" customFormat="false" ht="15" hidden="false" customHeight="false" outlineLevel="0" collapsed="false">
      <c r="A31" s="31" t="s">
        <v>297</v>
      </c>
      <c r="B31" s="6" t="s">
        <v>298</v>
      </c>
      <c r="C31" s="32" t="n">
        <v>54001.85</v>
      </c>
      <c r="D31" s="32" t="n">
        <v>13040.01</v>
      </c>
      <c r="E31" s="32" t="n">
        <v>23979.4</v>
      </c>
      <c r="F31" s="32" t="n">
        <v>54001.85</v>
      </c>
      <c r="G31" s="32" t="n">
        <f aca="false">C31+D31+E31-F31</f>
        <v>37019.41</v>
      </c>
      <c r="H31" s="32" t="n">
        <v>0</v>
      </c>
      <c r="I31" s="32" t="n">
        <v>0</v>
      </c>
      <c r="J31" s="32" t="n">
        <v>37019.41</v>
      </c>
      <c r="K31" s="6" t="s">
        <v>299</v>
      </c>
      <c r="L31" s="32" t="n">
        <v>277448.04</v>
      </c>
      <c r="M31" s="32" t="n">
        <v>406657.92</v>
      </c>
    </row>
    <row r="32" customFormat="false" ht="15" hidden="false" customHeight="false" outlineLevel="0" collapsed="false">
      <c r="A32" s="31" t="s">
        <v>300</v>
      </c>
      <c r="B32" s="6" t="s">
        <v>301</v>
      </c>
      <c r="C32" s="32" t="n">
        <v>69683.27</v>
      </c>
      <c r="D32" s="32" t="n">
        <v>13428.21</v>
      </c>
      <c r="E32" s="32" t="n">
        <v>23647.12</v>
      </c>
      <c r="F32" s="32" t="n">
        <v>69683.27</v>
      </c>
      <c r="G32" s="32" t="n">
        <f aca="false">C32+D32+E32-F32</f>
        <v>37075.33</v>
      </c>
      <c r="H32" s="32" t="n">
        <v>0</v>
      </c>
      <c r="I32" s="32" t="n">
        <v>0</v>
      </c>
      <c r="J32" s="32" t="n">
        <v>37075.33</v>
      </c>
      <c r="K32" s="6" t="s">
        <v>302</v>
      </c>
      <c r="L32" s="32" t="n">
        <v>133338.16</v>
      </c>
      <c r="M32" s="32" t="n">
        <v>470312.81</v>
      </c>
    </row>
    <row r="33" customFormat="false" ht="15" hidden="false" customHeight="false" outlineLevel="0" collapsed="false">
      <c r="A33" s="31" t="s">
        <v>303</v>
      </c>
      <c r="B33" s="6" t="s">
        <v>79</v>
      </c>
      <c r="C33" s="32" t="n">
        <v>101709.29</v>
      </c>
      <c r="D33" s="32" t="n">
        <v>15126.68</v>
      </c>
      <c r="E33" s="32" t="n">
        <v>25259.38</v>
      </c>
      <c r="F33" s="32" t="n">
        <v>101709.29</v>
      </c>
      <c r="G33" s="32" t="n">
        <f aca="false">C33+D33+E33-F33</f>
        <v>40386.06</v>
      </c>
      <c r="H33" s="32" t="n">
        <v>0</v>
      </c>
      <c r="I33" s="32" t="n">
        <v>0</v>
      </c>
      <c r="J33" s="32" t="n">
        <v>40386.06</v>
      </c>
      <c r="K33" s="6" t="s">
        <v>304</v>
      </c>
      <c r="L33" s="32" t="n">
        <v>138588.16</v>
      </c>
      <c r="M33" s="32" t="n">
        <v>507191.68</v>
      </c>
    </row>
    <row r="34" customFormat="false" ht="15" hidden="false" customHeight="false" outlineLevel="0" collapsed="false">
      <c r="A34" s="31" t="s">
        <v>305</v>
      </c>
      <c r="B34" s="6" t="s">
        <v>80</v>
      </c>
      <c r="C34" s="32" t="n">
        <v>143526.56</v>
      </c>
      <c r="D34" s="32" t="n">
        <v>16362.25</v>
      </c>
      <c r="E34" s="32" t="n">
        <v>25347.68</v>
      </c>
      <c r="F34" s="32" t="n">
        <v>143526.56</v>
      </c>
      <c r="G34" s="32" t="n">
        <f aca="false">C34+D34+E34-F34</f>
        <v>41709.93</v>
      </c>
      <c r="H34" s="32" t="n">
        <v>0</v>
      </c>
      <c r="I34" s="32" t="n">
        <v>0</v>
      </c>
      <c r="J34" s="32" t="n">
        <v>0</v>
      </c>
      <c r="K34" s="6" t="s">
        <v>228</v>
      </c>
      <c r="L34" s="32" t="n">
        <v>141441.56</v>
      </c>
      <c r="M34" s="32" t="n">
        <v>505106.68</v>
      </c>
    </row>
    <row r="35" customFormat="false" ht="15" hidden="false" customHeight="false" outlineLevel="0" collapsed="false">
      <c r="A35" s="31" t="s">
        <v>306</v>
      </c>
      <c r="B35" s="6" t="s">
        <v>81</v>
      </c>
      <c r="C35" s="32" t="n">
        <v>220030.94</v>
      </c>
      <c r="D35" s="32" t="n">
        <v>18588.92</v>
      </c>
      <c r="E35" s="32" t="n">
        <v>25957.26</v>
      </c>
      <c r="F35" s="32" t="n">
        <v>139250.39</v>
      </c>
      <c r="G35" s="32" t="n">
        <f aca="false">C35+D35+E35-F35</f>
        <v>125326.73</v>
      </c>
      <c r="H35" s="32" t="n">
        <v>0</v>
      </c>
      <c r="I35" s="32" t="n">
        <v>0</v>
      </c>
      <c r="J35" s="32" t="n">
        <v>125326.73</v>
      </c>
      <c r="K35" s="6" t="s">
        <v>307</v>
      </c>
      <c r="L35" s="32" t="n">
        <v>139250.39</v>
      </c>
      <c r="M35" s="32" t="n">
        <v>0</v>
      </c>
    </row>
    <row r="37" customFormat="false" ht="15" hidden="false" customHeight="false" outlineLevel="0" collapsed="false">
      <c r="A37" s="12" t="s">
        <v>308</v>
      </c>
    </row>
    <row r="38" customFormat="false" ht="15" hidden="false" customHeight="false" outlineLevel="0" collapsed="false">
      <c r="A38" s="6" t="s">
        <v>309</v>
      </c>
      <c r="B38" s="6" t="s">
        <v>310</v>
      </c>
      <c r="C38" s="32" t="n">
        <v>414338.7</v>
      </c>
    </row>
    <row r="39" customFormat="false" ht="15" hidden="false" customHeight="false" outlineLevel="0" collapsed="false">
      <c r="A39" s="6" t="s">
        <v>311</v>
      </c>
      <c r="B39" s="6" t="s">
        <v>312</v>
      </c>
      <c r="C39" s="32" t="n">
        <v>554753.64</v>
      </c>
    </row>
    <row r="40" customFormat="false" ht="15" hidden="false" customHeight="false" outlineLevel="0" collapsed="false">
      <c r="A40" s="6" t="s">
        <v>313</v>
      </c>
      <c r="B40" s="6" t="s">
        <v>314</v>
      </c>
      <c r="C40" s="32" t="n">
        <v>502604.72</v>
      </c>
    </row>
    <row r="41" customFormat="false" ht="15" hidden="false" customHeight="false" outlineLevel="0" collapsed="false">
      <c r="A41" s="6" t="s">
        <v>315</v>
      </c>
      <c r="B41" s="6" t="s">
        <v>316</v>
      </c>
      <c r="C41" s="32" t="n">
        <v>471878.22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8"/>
    <col collapsed="false" customWidth="true" hidden="false" outlineLevel="0" max="4" min="4" style="0" width="13"/>
    <col collapsed="false" customWidth="true" hidden="false" outlineLevel="0" max="6" min="5" style="0" width="12"/>
    <col collapsed="false" customWidth="true" hidden="false" outlineLevel="0" max="8" min="7" style="0" width="16"/>
    <col collapsed="false" customWidth="true" hidden="false" outlineLevel="0" max="9" min="9" style="0" width="14"/>
    <col collapsed="false" customWidth="true" hidden="false" outlineLevel="0" max="10" min="10" style="0" width="12"/>
    <col collapsed="false" customWidth="true" hidden="false" outlineLevel="0" max="11" min="11" style="0" width="34"/>
    <col collapsed="false" customWidth="true" hidden="false" outlineLevel="0" max="12" min="12" style="0" width="12"/>
  </cols>
  <sheetData>
    <row r="1" customFormat="false" ht="17.35" hidden="false" customHeight="false" outlineLevel="0" collapsed="false">
      <c r="A1" s="1" t="s">
        <v>317</v>
      </c>
    </row>
    <row r="2" customFormat="false" ht="15" hidden="false" customHeight="false" outlineLevel="0" collapsed="false">
      <c r="A2" s="15" t="s">
        <v>318</v>
      </c>
    </row>
    <row r="4" customFormat="false" ht="23.85" hidden="false" customHeight="false" outlineLevel="0" collapsed="false">
      <c r="A4" s="3" t="s">
        <v>319</v>
      </c>
      <c r="B4" s="3" t="s">
        <v>320</v>
      </c>
      <c r="C4" s="3" t="s">
        <v>321</v>
      </c>
      <c r="D4" s="3" t="s">
        <v>322</v>
      </c>
      <c r="E4" s="3" t="s">
        <v>218</v>
      </c>
      <c r="F4" s="3" t="s">
        <v>175</v>
      </c>
      <c r="G4" s="3" t="s">
        <v>323</v>
      </c>
      <c r="H4" s="3" t="s">
        <v>324</v>
      </c>
      <c r="I4" s="3" t="s">
        <v>325</v>
      </c>
      <c r="J4" s="3" t="s">
        <v>326</v>
      </c>
      <c r="K4" s="3" t="s">
        <v>327</v>
      </c>
      <c r="L4" s="3" t="s">
        <v>328</v>
      </c>
    </row>
    <row r="5" customFormat="false" ht="15" hidden="false" customHeight="false" outlineLevel="0" collapsed="false">
      <c r="A5" s="31" t="s">
        <v>226</v>
      </c>
      <c r="B5" s="6" t="s">
        <v>329</v>
      </c>
      <c r="C5" s="32" t="n">
        <v>647704.89</v>
      </c>
      <c r="D5" s="32" t="n">
        <v>0</v>
      </c>
      <c r="E5" s="32" t="n">
        <v>64770.49</v>
      </c>
      <c r="F5" s="32" t="n">
        <v>54612.95</v>
      </c>
      <c r="G5" s="32" t="n">
        <v>891539.92</v>
      </c>
      <c r="H5" s="32" t="n">
        <v>0</v>
      </c>
      <c r="I5" s="32" t="n">
        <v>124451.59</v>
      </c>
      <c r="J5" s="6" t="s">
        <v>330</v>
      </c>
      <c r="K5" s="6" t="s">
        <v>331</v>
      </c>
      <c r="L5" s="33" t="n">
        <v>727</v>
      </c>
    </row>
    <row r="6" customFormat="false" ht="15" hidden="false" customHeight="false" outlineLevel="0" collapsed="false">
      <c r="A6" s="31" t="s">
        <v>232</v>
      </c>
      <c r="B6" s="6" t="s">
        <v>332</v>
      </c>
      <c r="C6" s="32" t="n">
        <v>7605.12</v>
      </c>
      <c r="D6" s="32" t="n">
        <v>0</v>
      </c>
      <c r="E6" s="32" t="n">
        <v>760.51</v>
      </c>
      <c r="F6" s="32" t="n">
        <v>74.45</v>
      </c>
      <c r="G6" s="32" t="n">
        <v>8440.08</v>
      </c>
      <c r="H6" s="32" t="n">
        <v>0</v>
      </c>
      <c r="I6" s="32" t="n">
        <v>0</v>
      </c>
      <c r="J6" s="6" t="s">
        <v>333</v>
      </c>
      <c r="K6" s="6" t="s">
        <v>334</v>
      </c>
      <c r="L6" s="33" t="n">
        <v>5</v>
      </c>
    </row>
    <row r="7" customFormat="false" ht="15" hidden="false" customHeight="false" outlineLevel="0" collapsed="false">
      <c r="A7" s="31" t="s">
        <v>237</v>
      </c>
      <c r="B7" s="6" t="s">
        <v>335</v>
      </c>
      <c r="C7" s="32" t="n">
        <v>384546.33</v>
      </c>
      <c r="D7" s="32" t="n">
        <v>0</v>
      </c>
      <c r="E7" s="32" t="n">
        <v>38454.63</v>
      </c>
      <c r="F7" s="32" t="n">
        <v>26293.25</v>
      </c>
      <c r="G7" s="32" t="n">
        <v>449294.21</v>
      </c>
      <c r="H7" s="32" t="n">
        <v>0</v>
      </c>
      <c r="I7" s="32" t="n">
        <v>0</v>
      </c>
      <c r="J7" s="6" t="s">
        <v>336</v>
      </c>
      <c r="K7" s="6" t="s">
        <v>337</v>
      </c>
      <c r="L7" s="33" t="n">
        <v>218</v>
      </c>
    </row>
    <row r="8" customFormat="false" ht="15" hidden="false" customHeight="false" outlineLevel="0" collapsed="false">
      <c r="A8" s="31" t="s">
        <v>242</v>
      </c>
      <c r="B8" s="6" t="s">
        <v>338</v>
      </c>
      <c r="C8" s="32" t="n">
        <v>421682.87</v>
      </c>
      <c r="D8" s="32" t="n">
        <v>0</v>
      </c>
      <c r="E8" s="32" t="n">
        <v>42168.29</v>
      </c>
      <c r="F8" s="32" t="n">
        <v>27852.16</v>
      </c>
      <c r="G8" s="32" t="n">
        <v>491703.32</v>
      </c>
      <c r="H8" s="32" t="n">
        <v>0</v>
      </c>
      <c r="I8" s="32" t="n">
        <v>0</v>
      </c>
      <c r="J8" s="6" t="s">
        <v>339</v>
      </c>
      <c r="K8" s="6" t="s">
        <v>340</v>
      </c>
      <c r="L8" s="33" t="n">
        <v>196</v>
      </c>
    </row>
    <row r="9" customFormat="false" ht="15" hidden="false" customHeight="false" outlineLevel="0" collapsed="false">
      <c r="A9" s="31" t="s">
        <v>247</v>
      </c>
      <c r="B9" s="6" t="s">
        <v>341</v>
      </c>
      <c r="C9" s="32" t="n">
        <v>368073.63</v>
      </c>
      <c r="D9" s="32" t="n">
        <v>0</v>
      </c>
      <c r="E9" s="32" t="n">
        <v>36807.36</v>
      </c>
      <c r="F9" s="32" t="n">
        <v>17181.69</v>
      </c>
      <c r="G9" s="32" t="n">
        <v>422062.68</v>
      </c>
      <c r="H9" s="32" t="n">
        <v>0</v>
      </c>
      <c r="I9" s="32" t="n">
        <v>0</v>
      </c>
      <c r="J9" s="6" t="s">
        <v>342</v>
      </c>
      <c r="K9" s="6" t="s">
        <v>343</v>
      </c>
      <c r="L9" s="33" t="n">
        <v>133</v>
      </c>
    </row>
    <row r="10" customFormat="false" ht="15" hidden="false" customHeight="false" outlineLevel="0" collapsed="false">
      <c r="A10" s="31" t="s">
        <v>253</v>
      </c>
      <c r="B10" s="6" t="s">
        <v>344</v>
      </c>
      <c r="C10" s="32" t="n">
        <v>266221.85</v>
      </c>
      <c r="D10" s="32" t="n">
        <v>0</v>
      </c>
      <c r="E10" s="32" t="n">
        <v>0</v>
      </c>
      <c r="F10" s="32" t="n">
        <v>0</v>
      </c>
      <c r="G10" s="32" t="n">
        <v>266221.85</v>
      </c>
      <c r="H10" s="32" t="n">
        <v>0</v>
      </c>
      <c r="I10" s="32" t="n">
        <v>0</v>
      </c>
      <c r="J10" s="6" t="s">
        <v>345</v>
      </c>
      <c r="K10" s="6" t="s">
        <v>346</v>
      </c>
      <c r="L10" s="33" t="n">
        <v>1</v>
      </c>
    </row>
    <row r="11" customFormat="false" ht="15" hidden="false" customHeight="false" outlineLevel="0" collapsed="false">
      <c r="A11" s="31" t="s">
        <v>259</v>
      </c>
      <c r="B11" s="6" t="s">
        <v>347</v>
      </c>
      <c r="C11" s="32" t="n">
        <v>251991.69</v>
      </c>
      <c r="D11" s="32" t="n">
        <v>0</v>
      </c>
      <c r="E11" s="32" t="n">
        <v>25199.17</v>
      </c>
      <c r="F11" s="32" t="n">
        <v>2310.76</v>
      </c>
      <c r="G11" s="32" t="n">
        <v>279501.62</v>
      </c>
      <c r="H11" s="32" t="n">
        <v>0</v>
      </c>
      <c r="I11" s="32" t="n">
        <v>0</v>
      </c>
      <c r="J11" s="6" t="s">
        <v>348</v>
      </c>
      <c r="K11" s="6" t="s">
        <v>349</v>
      </c>
      <c r="L11" s="33" t="n">
        <v>18</v>
      </c>
    </row>
    <row r="12" customFormat="false" ht="15" hidden="false" customHeight="false" outlineLevel="0" collapsed="false">
      <c r="A12" s="31" t="s">
        <v>265</v>
      </c>
      <c r="B12" s="6" t="s">
        <v>350</v>
      </c>
      <c r="C12" s="32" t="n">
        <v>492299.18</v>
      </c>
      <c r="D12" s="32" t="n">
        <v>0</v>
      </c>
      <c r="E12" s="32" t="n">
        <v>49227.33</v>
      </c>
      <c r="F12" s="32" t="n">
        <v>28266.18</v>
      </c>
      <c r="G12" s="32" t="n">
        <v>569766.8</v>
      </c>
      <c r="H12" s="32" t="n">
        <v>0</v>
      </c>
      <c r="I12" s="32" t="n">
        <v>-25.89</v>
      </c>
      <c r="J12" s="6" t="s">
        <v>351</v>
      </c>
      <c r="K12" s="6" t="s">
        <v>352</v>
      </c>
      <c r="L12" s="33" t="n">
        <v>243</v>
      </c>
    </row>
    <row r="13" customFormat="false" ht="15" hidden="false" customHeight="false" outlineLevel="0" collapsed="false">
      <c r="A13" s="31" t="s">
        <v>271</v>
      </c>
      <c r="B13" s="6" t="s">
        <v>353</v>
      </c>
      <c r="C13" s="32" t="n">
        <v>313789.65</v>
      </c>
      <c r="D13" s="32" t="n">
        <v>0</v>
      </c>
      <c r="E13" s="32" t="n">
        <v>18933.81</v>
      </c>
      <c r="F13" s="32" t="n">
        <v>11114.4</v>
      </c>
      <c r="G13" s="32" t="n">
        <v>219386.27</v>
      </c>
      <c r="H13" s="32" t="n">
        <v>0</v>
      </c>
      <c r="I13" s="32" t="n">
        <v>-124451.59</v>
      </c>
      <c r="J13" s="6" t="s">
        <v>354</v>
      </c>
      <c r="K13" s="6" t="s">
        <v>355</v>
      </c>
      <c r="L13" s="33" t="n">
        <v>214</v>
      </c>
    </row>
    <row r="14" customFormat="false" ht="15" hidden="false" customHeight="false" outlineLevel="0" collapsed="false">
      <c r="A14" s="31" t="s">
        <v>276</v>
      </c>
      <c r="B14" s="6" t="s">
        <v>356</v>
      </c>
      <c r="C14" s="32" t="n">
        <v>370625.28</v>
      </c>
      <c r="D14" s="32" t="n">
        <v>0</v>
      </c>
      <c r="E14" s="32" t="n">
        <v>37062.53</v>
      </c>
      <c r="F14" s="32" t="n">
        <v>972.9</v>
      </c>
      <c r="G14" s="32" t="n">
        <v>408660.71</v>
      </c>
      <c r="H14" s="32" t="n">
        <v>0</v>
      </c>
      <c r="I14" s="32" t="n">
        <v>0</v>
      </c>
      <c r="J14" s="6" t="s">
        <v>357</v>
      </c>
      <c r="K14" s="6" t="s">
        <v>358</v>
      </c>
      <c r="L14" s="33" t="n">
        <v>73</v>
      </c>
    </row>
    <row r="15" customFormat="false" ht="15" hidden="false" customHeight="false" outlineLevel="0" collapsed="false">
      <c r="A15" s="31" t="s">
        <v>282</v>
      </c>
      <c r="B15" s="6" t="s">
        <v>359</v>
      </c>
      <c r="C15" s="32" t="n">
        <v>96064.46</v>
      </c>
      <c r="D15" s="32" t="n">
        <v>0</v>
      </c>
      <c r="E15" s="32" t="n">
        <v>0</v>
      </c>
      <c r="F15" s="32" t="n">
        <v>0</v>
      </c>
      <c r="G15" s="32" t="n">
        <v>96064.46</v>
      </c>
      <c r="H15" s="32" t="n">
        <v>0</v>
      </c>
      <c r="I15" s="32" t="n">
        <v>0</v>
      </c>
      <c r="J15" s="6" t="s">
        <v>360</v>
      </c>
      <c r="K15" s="6" t="s">
        <v>361</v>
      </c>
      <c r="L15" s="33" t="n">
        <v>4</v>
      </c>
    </row>
    <row r="16" customFormat="false" ht="15" hidden="false" customHeight="false" outlineLevel="0" collapsed="false">
      <c r="A16" s="31" t="s">
        <v>288</v>
      </c>
      <c r="B16" s="6" t="s">
        <v>362</v>
      </c>
      <c r="C16" s="32" t="n">
        <v>373522.47</v>
      </c>
      <c r="D16" s="32" t="n">
        <v>0</v>
      </c>
      <c r="E16" s="32" t="n">
        <v>0</v>
      </c>
      <c r="F16" s="32" t="n">
        <v>0</v>
      </c>
      <c r="G16" s="32" t="n">
        <v>373522.47</v>
      </c>
      <c r="H16" s="32" t="n">
        <v>0</v>
      </c>
      <c r="I16" s="32" t="n">
        <v>0</v>
      </c>
      <c r="J16" s="6" t="s">
        <v>363</v>
      </c>
      <c r="K16" s="6" t="s">
        <v>363</v>
      </c>
      <c r="L16" s="33" t="n">
        <v>0</v>
      </c>
    </row>
    <row r="17" customFormat="false" ht="15" hidden="false" customHeight="false" outlineLevel="0" collapsed="false">
      <c r="A17" s="31" t="s">
        <v>294</v>
      </c>
      <c r="B17" s="6" t="s">
        <v>364</v>
      </c>
      <c r="C17" s="32" t="n">
        <v>253974.13</v>
      </c>
      <c r="D17" s="32" t="n">
        <v>14535.24</v>
      </c>
      <c r="E17" s="32" t="n">
        <v>8242.89</v>
      </c>
      <c r="F17" s="32" t="n">
        <v>774.34</v>
      </c>
      <c r="G17" s="32" t="n">
        <v>585650.3</v>
      </c>
      <c r="H17" s="32" t="n">
        <v>0</v>
      </c>
      <c r="I17" s="32" t="n">
        <v>308123.7</v>
      </c>
      <c r="J17" s="6" t="s">
        <v>365</v>
      </c>
      <c r="K17" s="6" t="s">
        <v>366</v>
      </c>
      <c r="L17" s="33" t="n">
        <v>9</v>
      </c>
    </row>
    <row r="18" customFormat="false" ht="15" hidden="false" customHeight="false" outlineLevel="0" collapsed="false">
      <c r="A18" s="31" t="s">
        <v>300</v>
      </c>
      <c r="B18" s="6" t="s">
        <v>367</v>
      </c>
      <c r="C18" s="32" t="n">
        <v>461347.42</v>
      </c>
      <c r="D18" s="32" t="n">
        <v>0</v>
      </c>
      <c r="E18" s="32" t="n">
        <v>0</v>
      </c>
      <c r="F18" s="32" t="n">
        <v>0</v>
      </c>
      <c r="G18" s="32" t="n">
        <v>461347.42</v>
      </c>
      <c r="H18" s="32" t="n">
        <v>0</v>
      </c>
      <c r="I18" s="32" t="n">
        <v>0</v>
      </c>
      <c r="J18" s="6" t="s">
        <v>368</v>
      </c>
      <c r="K18" s="6" t="s">
        <v>369</v>
      </c>
      <c r="L18" s="33" t="n">
        <v>10</v>
      </c>
    </row>
    <row r="19" customFormat="false" ht="15" hidden="false" customHeight="false" outlineLevel="0" collapsed="false">
      <c r="A19" s="31" t="s">
        <v>305</v>
      </c>
      <c r="B19" s="6" t="s">
        <v>370</v>
      </c>
      <c r="C19" s="32" t="n">
        <v>493396.01</v>
      </c>
      <c r="D19" s="32" t="n">
        <v>0</v>
      </c>
      <c r="E19" s="32" t="n">
        <v>34501.17</v>
      </c>
      <c r="F19" s="32" t="n">
        <v>2946.4</v>
      </c>
      <c r="G19" s="32" t="n">
        <v>382459.26</v>
      </c>
      <c r="H19" s="32" t="n">
        <v>0</v>
      </c>
      <c r="I19" s="32" t="n">
        <v>-148384.32</v>
      </c>
      <c r="J19" s="6" t="s">
        <v>371</v>
      </c>
      <c r="K19" s="6" t="s">
        <v>307</v>
      </c>
      <c r="L19" s="33"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8"/>
    <col collapsed="false" customWidth="true" hidden="false" outlineLevel="0" max="4" min="4" style="0" width="13"/>
    <col collapsed="false" customWidth="true" hidden="false" outlineLevel="0" max="6" min="5" style="0" width="12"/>
    <col collapsed="false" customWidth="true" hidden="false" outlineLevel="0" max="8" min="7" style="0" width="16"/>
    <col collapsed="false" customWidth="true" hidden="false" outlineLevel="0" max="9" min="9" style="0" width="14"/>
    <col collapsed="false" customWidth="true" hidden="false" outlineLevel="0" max="10" min="10" style="0" width="12"/>
    <col collapsed="false" customWidth="true" hidden="false" outlineLevel="0" max="11" min="11" style="0" width="34"/>
    <col collapsed="false" customWidth="true" hidden="false" outlineLevel="0" max="12" min="12" style="0" width="12"/>
  </cols>
  <sheetData>
    <row r="1" customFormat="false" ht="17.35" hidden="false" customHeight="false" outlineLevel="0" collapsed="false">
      <c r="A1" s="1" t="s">
        <v>372</v>
      </c>
    </row>
    <row r="2" customFormat="false" ht="15" hidden="false" customHeight="false" outlineLevel="0" collapsed="false">
      <c r="A2" s="15" t="s">
        <v>373</v>
      </c>
    </row>
    <row r="4" customFormat="false" ht="23.85" hidden="false" customHeight="false" outlineLevel="0" collapsed="false">
      <c r="A4" s="3" t="s">
        <v>319</v>
      </c>
      <c r="B4" s="3" t="s">
        <v>320</v>
      </c>
      <c r="C4" s="3" t="s">
        <v>321</v>
      </c>
      <c r="D4" s="3" t="s">
        <v>322</v>
      </c>
      <c r="E4" s="3" t="s">
        <v>218</v>
      </c>
      <c r="F4" s="3" t="s">
        <v>175</v>
      </c>
      <c r="G4" s="3" t="s">
        <v>323</v>
      </c>
      <c r="H4" s="3" t="s">
        <v>324</v>
      </c>
      <c r="I4" s="3" t="s">
        <v>325</v>
      </c>
      <c r="J4" s="3" t="s">
        <v>326</v>
      </c>
      <c r="K4" s="3" t="s">
        <v>327</v>
      </c>
      <c r="L4" s="3" t="s">
        <v>328</v>
      </c>
    </row>
    <row r="5" customFormat="false" ht="15" hidden="false" customHeight="false" outlineLevel="0" collapsed="false">
      <c r="A5" s="31" t="s">
        <v>223</v>
      </c>
      <c r="B5" s="6" t="s">
        <v>374</v>
      </c>
      <c r="C5" s="32" t="n">
        <v>365983.15</v>
      </c>
      <c r="D5" s="32" t="n">
        <v>0</v>
      </c>
      <c r="E5" s="32" t="n">
        <v>36598.32</v>
      </c>
      <c r="F5" s="32" t="n">
        <v>16078.16</v>
      </c>
      <c r="G5" s="32" t="n">
        <v>391209.53</v>
      </c>
      <c r="H5" s="32" t="n">
        <v>-3288.76</v>
      </c>
      <c r="I5" s="32" t="n">
        <v>-24161.34</v>
      </c>
      <c r="J5" s="6" t="s">
        <v>375</v>
      </c>
      <c r="K5" s="6" t="s">
        <v>376</v>
      </c>
      <c r="L5" s="33" t="n">
        <v>212</v>
      </c>
    </row>
    <row r="6" customFormat="false" ht="15" hidden="false" customHeight="false" outlineLevel="0" collapsed="false">
      <c r="A6" s="31" t="s">
        <v>229</v>
      </c>
      <c r="B6" s="6" t="s">
        <v>377</v>
      </c>
      <c r="C6" s="32" t="n">
        <v>-3288.76</v>
      </c>
      <c r="D6" s="32" t="n">
        <v>0</v>
      </c>
      <c r="E6" s="32" t="n">
        <v>0</v>
      </c>
      <c r="F6" s="32" t="n">
        <v>0</v>
      </c>
      <c r="G6" s="32" t="n">
        <v>0</v>
      </c>
      <c r="H6" s="32" t="n">
        <v>3288.76</v>
      </c>
      <c r="I6" s="32" t="n">
        <v>0</v>
      </c>
      <c r="J6" s="6" t="s">
        <v>378</v>
      </c>
      <c r="K6" s="6" t="s">
        <v>379</v>
      </c>
      <c r="L6" s="33" t="n">
        <v>2</v>
      </c>
    </row>
    <row r="7" customFormat="false" ht="15" hidden="false" customHeight="false" outlineLevel="0" collapsed="false">
      <c r="A7" s="31" t="s">
        <v>234</v>
      </c>
      <c r="B7" s="6" t="s">
        <v>380</v>
      </c>
      <c r="C7" s="32" t="n">
        <v>307579.69</v>
      </c>
      <c r="D7" s="32" t="n">
        <v>0</v>
      </c>
      <c r="E7" s="32" t="n">
        <v>30757.97</v>
      </c>
      <c r="F7" s="32" t="n">
        <v>3011.21</v>
      </c>
      <c r="G7" s="32" t="n">
        <v>341348.87</v>
      </c>
      <c r="H7" s="32" t="n">
        <v>0</v>
      </c>
      <c r="I7" s="32" t="n">
        <v>0</v>
      </c>
      <c r="J7" s="6" t="s">
        <v>381</v>
      </c>
      <c r="K7" s="6" t="s">
        <v>382</v>
      </c>
      <c r="L7" s="33" t="n">
        <v>17</v>
      </c>
    </row>
    <row r="8" customFormat="false" ht="15" hidden="false" customHeight="false" outlineLevel="0" collapsed="false">
      <c r="A8" s="31" t="s">
        <v>240</v>
      </c>
      <c r="B8" s="6" t="s">
        <v>383</v>
      </c>
      <c r="C8" s="32" t="n">
        <v>296659.81</v>
      </c>
      <c r="D8" s="32" t="n">
        <v>0</v>
      </c>
      <c r="E8" s="32" t="n">
        <v>29665.98</v>
      </c>
      <c r="F8" s="32" t="n">
        <v>5808.6</v>
      </c>
      <c r="G8" s="32" t="n">
        <v>303559.96</v>
      </c>
      <c r="H8" s="32" t="n">
        <v>0</v>
      </c>
      <c r="I8" s="32" t="n">
        <v>-28574.43</v>
      </c>
      <c r="J8" s="6" t="s">
        <v>384</v>
      </c>
      <c r="K8" s="6" t="s">
        <v>385</v>
      </c>
      <c r="L8" s="33" t="n">
        <v>42</v>
      </c>
    </row>
    <row r="9" customFormat="false" ht="15" hidden="false" customHeight="false" outlineLevel="0" collapsed="false">
      <c r="A9" s="31" t="s">
        <v>244</v>
      </c>
      <c r="B9" s="6" t="s">
        <v>386</v>
      </c>
      <c r="C9" s="32" t="n">
        <v>990136.99</v>
      </c>
      <c r="D9" s="32" t="n">
        <v>0</v>
      </c>
      <c r="E9" s="32" t="n">
        <v>99013.7</v>
      </c>
      <c r="F9" s="32" t="n">
        <v>57597.1</v>
      </c>
      <c r="G9" s="32" t="n">
        <v>1146747.79</v>
      </c>
      <c r="H9" s="32" t="n">
        <v>0</v>
      </c>
      <c r="I9" s="32" t="n">
        <v>0</v>
      </c>
      <c r="J9" s="6" t="s">
        <v>387</v>
      </c>
      <c r="K9" s="6" t="s">
        <v>388</v>
      </c>
      <c r="L9" s="33" t="n">
        <v>273</v>
      </c>
    </row>
    <row r="10" customFormat="false" ht="15" hidden="false" customHeight="false" outlineLevel="0" collapsed="false">
      <c r="A10" s="31" t="s">
        <v>250</v>
      </c>
      <c r="B10" s="6" t="s">
        <v>389</v>
      </c>
      <c r="C10" s="32" t="n">
        <v>70541.17</v>
      </c>
      <c r="D10" s="32" t="n">
        <v>0</v>
      </c>
      <c r="E10" s="32" t="n">
        <v>0</v>
      </c>
      <c r="F10" s="32" t="n">
        <v>0</v>
      </c>
      <c r="G10" s="32" t="n">
        <v>70541.17</v>
      </c>
      <c r="H10" s="32" t="n">
        <v>0</v>
      </c>
      <c r="I10" s="32" t="n">
        <v>0</v>
      </c>
      <c r="J10" s="6" t="s">
        <v>390</v>
      </c>
      <c r="K10" s="6" t="s">
        <v>390</v>
      </c>
      <c r="L10" s="33" t="n">
        <v>0</v>
      </c>
    </row>
    <row r="11" customFormat="false" ht="15" hidden="false" customHeight="false" outlineLevel="0" collapsed="false">
      <c r="A11" s="31" t="s">
        <v>256</v>
      </c>
      <c r="B11" s="6" t="s">
        <v>391</v>
      </c>
      <c r="C11" s="32" t="n">
        <v>494929.76</v>
      </c>
      <c r="D11" s="32" t="n">
        <v>0</v>
      </c>
      <c r="E11" s="32" t="n">
        <v>49492.98</v>
      </c>
      <c r="F11" s="32" t="n">
        <v>4538.51</v>
      </c>
      <c r="G11" s="32" t="n">
        <v>548961.25</v>
      </c>
      <c r="H11" s="32" t="n">
        <v>0</v>
      </c>
      <c r="I11" s="32" t="n">
        <v>0</v>
      </c>
      <c r="J11" s="6" t="s">
        <v>392</v>
      </c>
      <c r="K11" s="6" t="s">
        <v>258</v>
      </c>
      <c r="L11" s="33" t="n">
        <v>27</v>
      </c>
    </row>
    <row r="12" customFormat="false" ht="15" hidden="false" customHeight="false" outlineLevel="0" collapsed="false">
      <c r="A12" s="31" t="s">
        <v>262</v>
      </c>
      <c r="B12" s="6" t="s">
        <v>393</v>
      </c>
      <c r="C12" s="32" t="n">
        <v>541187.28</v>
      </c>
      <c r="D12" s="32" t="n">
        <v>0</v>
      </c>
      <c r="E12" s="32" t="n">
        <v>54118.73</v>
      </c>
      <c r="F12" s="32" t="n">
        <v>23296.32</v>
      </c>
      <c r="G12" s="32" t="n">
        <v>618602.33</v>
      </c>
      <c r="H12" s="32" t="n">
        <v>0</v>
      </c>
      <c r="I12" s="32" t="n">
        <v>0</v>
      </c>
      <c r="J12" s="6" t="s">
        <v>394</v>
      </c>
      <c r="K12" s="6" t="s">
        <v>395</v>
      </c>
      <c r="L12" s="33" t="n">
        <v>217</v>
      </c>
    </row>
    <row r="13" customFormat="false" ht="15" hidden="false" customHeight="false" outlineLevel="0" collapsed="false">
      <c r="A13" s="31" t="s">
        <v>268</v>
      </c>
      <c r="B13" s="6" t="s">
        <v>396</v>
      </c>
      <c r="C13" s="32" t="n">
        <v>163265.99</v>
      </c>
      <c r="D13" s="32" t="n">
        <v>0</v>
      </c>
      <c r="E13" s="32" t="n">
        <v>16326.6</v>
      </c>
      <c r="F13" s="32" t="n">
        <v>8230.38</v>
      </c>
      <c r="G13" s="32" t="n">
        <v>187822.97</v>
      </c>
      <c r="H13" s="32" t="n">
        <v>0</v>
      </c>
      <c r="I13" s="32" t="n">
        <v>0</v>
      </c>
      <c r="J13" s="6" t="s">
        <v>397</v>
      </c>
      <c r="K13" s="6" t="s">
        <v>398</v>
      </c>
      <c r="L13" s="33" t="n">
        <v>175</v>
      </c>
    </row>
    <row r="14" customFormat="false" ht="15" hidden="false" customHeight="false" outlineLevel="0" collapsed="false">
      <c r="A14" s="31" t="s">
        <v>274</v>
      </c>
      <c r="B14" s="6" t="s">
        <v>399</v>
      </c>
      <c r="C14" s="32" t="n">
        <v>228418.83</v>
      </c>
      <c r="D14" s="32" t="n">
        <v>0</v>
      </c>
      <c r="E14" s="32" t="n">
        <v>0</v>
      </c>
      <c r="F14" s="32" t="n">
        <v>0</v>
      </c>
      <c r="G14" s="32" t="n">
        <v>228418.83</v>
      </c>
      <c r="H14" s="32" t="n">
        <v>0</v>
      </c>
      <c r="I14" s="32" t="n">
        <v>0</v>
      </c>
      <c r="J14" s="6" t="s">
        <v>400</v>
      </c>
      <c r="K14" s="6" t="s">
        <v>401</v>
      </c>
      <c r="L14" s="33" t="n">
        <v>3</v>
      </c>
    </row>
    <row r="15" customFormat="false" ht="15" hidden="false" customHeight="false" outlineLevel="0" collapsed="false">
      <c r="A15" s="31" t="s">
        <v>279</v>
      </c>
      <c r="B15" s="6" t="s">
        <v>402</v>
      </c>
      <c r="C15" s="32" t="n">
        <v>1144827.74</v>
      </c>
      <c r="D15" s="32" t="n">
        <v>0</v>
      </c>
      <c r="E15" s="32" t="n">
        <v>114482.77</v>
      </c>
      <c r="F15" s="32" t="n">
        <v>47354.24</v>
      </c>
      <c r="G15" s="32" t="n">
        <v>1306664.75</v>
      </c>
      <c r="H15" s="32" t="n">
        <v>0</v>
      </c>
      <c r="I15" s="32" t="n">
        <v>0</v>
      </c>
      <c r="J15" s="6" t="s">
        <v>403</v>
      </c>
      <c r="K15" s="6" t="s">
        <v>404</v>
      </c>
      <c r="L15" s="33" t="n">
        <v>221</v>
      </c>
    </row>
    <row r="16" customFormat="false" ht="15" hidden="false" customHeight="false" outlineLevel="0" collapsed="false">
      <c r="A16" s="31" t="s">
        <v>285</v>
      </c>
      <c r="B16" s="6" t="s">
        <v>405</v>
      </c>
      <c r="C16" s="32" t="n">
        <v>121844.86</v>
      </c>
      <c r="D16" s="32" t="n">
        <v>0</v>
      </c>
      <c r="E16" s="32" t="n">
        <v>0</v>
      </c>
      <c r="F16" s="32" t="n">
        <v>0</v>
      </c>
      <c r="G16" s="32" t="n">
        <v>121844.86</v>
      </c>
      <c r="H16" s="32" t="n">
        <v>0</v>
      </c>
      <c r="I16" s="32" t="n">
        <v>0</v>
      </c>
      <c r="J16" s="6" t="s">
        <v>406</v>
      </c>
      <c r="K16" s="6" t="s">
        <v>407</v>
      </c>
      <c r="L16" s="33" t="n">
        <v>3</v>
      </c>
    </row>
    <row r="17" customFormat="false" ht="15" hidden="false" customHeight="false" outlineLevel="0" collapsed="false">
      <c r="A17" s="31" t="s">
        <v>291</v>
      </c>
      <c r="B17" s="6" t="s">
        <v>408</v>
      </c>
      <c r="C17" s="32" t="n">
        <v>753994.26</v>
      </c>
      <c r="D17" s="32" t="n">
        <v>0</v>
      </c>
      <c r="E17" s="32" t="n">
        <v>0</v>
      </c>
      <c r="F17" s="32" t="n">
        <v>0</v>
      </c>
      <c r="G17" s="32" t="n">
        <v>753994.26</v>
      </c>
      <c r="H17" s="32" t="n">
        <v>0</v>
      </c>
      <c r="I17" s="32" t="n">
        <v>0</v>
      </c>
      <c r="J17" s="6" t="s">
        <v>409</v>
      </c>
      <c r="K17" s="6" t="s">
        <v>410</v>
      </c>
      <c r="L17" s="33" t="n">
        <v>7</v>
      </c>
    </row>
    <row r="18" customFormat="false" ht="15" hidden="false" customHeight="false" outlineLevel="0" collapsed="false">
      <c r="A18" s="31" t="s">
        <v>297</v>
      </c>
      <c r="B18" s="6" t="s">
        <v>411</v>
      </c>
      <c r="C18" s="32" t="n">
        <v>521622.69</v>
      </c>
      <c r="D18" s="32" t="n">
        <v>0</v>
      </c>
      <c r="E18" s="32" t="n">
        <v>0</v>
      </c>
      <c r="F18" s="32" t="n">
        <v>0</v>
      </c>
      <c r="G18" s="32" t="n">
        <v>521622.69</v>
      </c>
      <c r="H18" s="32" t="n">
        <v>0</v>
      </c>
      <c r="I18" s="32" t="n">
        <v>0</v>
      </c>
      <c r="J18" s="6" t="s">
        <v>412</v>
      </c>
      <c r="K18" s="6" t="s">
        <v>413</v>
      </c>
      <c r="L18" s="33" t="n">
        <v>3</v>
      </c>
    </row>
    <row r="19" customFormat="false" ht="15" hidden="false" customHeight="false" outlineLevel="0" collapsed="false">
      <c r="A19" s="31" t="s">
        <v>303</v>
      </c>
      <c r="B19" s="6" t="s">
        <v>414</v>
      </c>
      <c r="C19" s="32" t="n">
        <v>295145.81</v>
      </c>
      <c r="D19" s="32" t="n">
        <v>0</v>
      </c>
      <c r="E19" s="32" t="n">
        <v>0</v>
      </c>
      <c r="F19" s="32" t="n">
        <v>0</v>
      </c>
      <c r="G19" s="32" t="n">
        <v>295376.39</v>
      </c>
      <c r="H19" s="32" t="n">
        <v>230.58</v>
      </c>
      <c r="I19" s="32" t="n">
        <v>0</v>
      </c>
      <c r="J19" s="6" t="s">
        <v>415</v>
      </c>
      <c r="K19" s="6" t="s">
        <v>416</v>
      </c>
      <c r="L19" s="33" t="n">
        <v>20</v>
      </c>
    </row>
    <row r="20" customFormat="false" ht="15" hidden="false" customHeight="false" outlineLevel="0" collapsed="false">
      <c r="A20" s="31" t="s">
        <v>306</v>
      </c>
      <c r="B20" s="6" t="s">
        <v>417</v>
      </c>
      <c r="C20" s="32" t="n">
        <v>191492.58</v>
      </c>
      <c r="D20" s="32" t="n">
        <v>0</v>
      </c>
      <c r="E20" s="32" t="n">
        <v>19149.26</v>
      </c>
      <c r="F20" s="32" t="n">
        <v>0</v>
      </c>
      <c r="G20" s="32" t="n">
        <v>0</v>
      </c>
      <c r="H20" s="32" t="n">
        <v>0</v>
      </c>
      <c r="I20" s="32" t="n">
        <v>0</v>
      </c>
      <c r="J20" s="6" t="s">
        <v>418</v>
      </c>
      <c r="K20"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3"/>
    <col collapsed="false" customWidth="true" hidden="false" outlineLevel="0" max="5" min="4" style="0" width="12"/>
    <col collapsed="false" customWidth="true" hidden="false" outlineLevel="0" max="6" min="6" style="0" width="13"/>
    <col collapsed="false" customWidth="true" hidden="false" outlineLevel="0" max="7" min="7" style="0" width="15"/>
    <col collapsed="false" customWidth="true" hidden="false" outlineLevel="0" max="9" min="8" style="0" width="11"/>
    <col collapsed="false" customWidth="true" hidden="false" outlineLevel="0" max="10" min="10" style="0" width="16"/>
    <col collapsed="false" customWidth="true" hidden="false" outlineLevel="0" max="11" min="11" style="0" width="26"/>
    <col collapsed="false" customWidth="true" hidden="false" outlineLevel="0" max="12" min="12" style="0" width="13"/>
    <col collapsed="false" customWidth="true" hidden="false" outlineLevel="0" max="13" min="13" style="0" width="18"/>
  </cols>
  <sheetData>
    <row r="1" customFormat="false" ht="17.35" hidden="false" customHeight="false" outlineLevel="0" collapsed="false">
      <c r="A1" s="1" t="s">
        <v>419</v>
      </c>
    </row>
    <row r="2" customFormat="false" ht="15" hidden="false" customHeight="false" outlineLevel="0" collapsed="false">
      <c r="A2" s="15" t="s">
        <v>420</v>
      </c>
    </row>
    <row r="4" customFormat="false" ht="35.05" hidden="false" customHeight="false" outlineLevel="0" collapsed="false">
      <c r="A4" s="3" t="s">
        <v>211</v>
      </c>
      <c r="B4" s="3" t="s">
        <v>212</v>
      </c>
      <c r="C4" s="3" t="s">
        <v>213</v>
      </c>
      <c r="D4" s="3" t="s">
        <v>214</v>
      </c>
      <c r="E4" s="3" t="s">
        <v>215</v>
      </c>
      <c r="F4" s="3" t="s">
        <v>216</v>
      </c>
      <c r="G4" s="3" t="s">
        <v>217</v>
      </c>
      <c r="H4" s="3" t="s">
        <v>218</v>
      </c>
      <c r="I4" s="3" t="s">
        <v>175</v>
      </c>
      <c r="J4" s="3" t="s">
        <v>219</v>
      </c>
      <c r="K4" s="3" t="s">
        <v>220</v>
      </c>
      <c r="L4" s="3" t="s">
        <v>221</v>
      </c>
      <c r="M4" s="3" t="s">
        <v>222</v>
      </c>
    </row>
    <row r="5" customFormat="false" ht="15" hidden="false" customHeight="false" outlineLevel="0" collapsed="false">
      <c r="A5" s="31" t="s">
        <v>223</v>
      </c>
      <c r="B5" s="6" t="s">
        <v>224</v>
      </c>
      <c r="C5" s="32" t="n">
        <v>509735.07</v>
      </c>
      <c r="D5" s="32" t="n">
        <v>0</v>
      </c>
      <c r="E5" s="32" t="n">
        <v>19553.52</v>
      </c>
      <c r="F5" s="32" t="n">
        <v>0</v>
      </c>
      <c r="G5" s="32" t="n">
        <f aca="false">C5+D5+E5-F5</f>
        <v>529288.59</v>
      </c>
      <c r="H5" s="32" t="n">
        <v>0</v>
      </c>
      <c r="I5" s="32" t="n">
        <v>0</v>
      </c>
      <c r="J5" s="32" t="n">
        <v>529288.59</v>
      </c>
      <c r="K5" s="6" t="s">
        <v>225</v>
      </c>
      <c r="L5" s="32" t="n">
        <v>3163.32</v>
      </c>
      <c r="M5" s="32" t="n">
        <v>3163.32</v>
      </c>
    </row>
    <row r="6" customFormat="false" ht="15" hidden="false" customHeight="false" outlineLevel="0" collapsed="false">
      <c r="A6" s="31" t="s">
        <v>226</v>
      </c>
      <c r="B6" s="6" t="s">
        <v>227</v>
      </c>
      <c r="C6" s="32" t="n">
        <v>555999.83</v>
      </c>
      <c r="D6" s="32" t="n">
        <v>0</v>
      </c>
      <c r="E6" s="32" t="n">
        <v>20854.22</v>
      </c>
      <c r="F6" s="32" t="n">
        <v>2062.5</v>
      </c>
      <c r="G6" s="32" t="n">
        <f aca="false">C6+D6+E6-F6</f>
        <v>574791.55</v>
      </c>
      <c r="H6" s="32" t="n">
        <v>57471.65</v>
      </c>
      <c r="I6" s="32" t="n">
        <v>12730.91</v>
      </c>
      <c r="J6" s="32" t="n">
        <v>0</v>
      </c>
      <c r="K6" s="6" t="s">
        <v>228</v>
      </c>
      <c r="L6" s="32" t="n">
        <v>2062.5</v>
      </c>
      <c r="M6" s="32" t="n">
        <v>3163.32</v>
      </c>
    </row>
    <row r="7" customFormat="false" ht="15" hidden="false" customHeight="false" outlineLevel="0" collapsed="false">
      <c r="A7" s="31" t="s">
        <v>229</v>
      </c>
      <c r="B7" s="6" t="s">
        <v>230</v>
      </c>
      <c r="C7" s="32" t="n">
        <v>566175.35</v>
      </c>
      <c r="D7" s="32" t="n">
        <v>0</v>
      </c>
      <c r="E7" s="32" t="n">
        <v>20761.04</v>
      </c>
      <c r="F7" s="32" t="n">
        <v>0</v>
      </c>
      <c r="G7" s="32" t="n">
        <f aca="false">C7+D7+E7-F7</f>
        <v>586936.39</v>
      </c>
      <c r="H7" s="32" t="n">
        <v>58693.64</v>
      </c>
      <c r="I7" s="32" t="n">
        <v>14955.52</v>
      </c>
      <c r="J7" s="32" t="n">
        <v>383978.48</v>
      </c>
      <c r="K7" s="6" t="s">
        <v>421</v>
      </c>
      <c r="L7" s="32" t="n">
        <v>683.32</v>
      </c>
      <c r="M7" s="32" t="n">
        <v>3846.64</v>
      </c>
    </row>
    <row r="8" customFormat="false" ht="15" hidden="false" customHeight="false" outlineLevel="0" collapsed="false">
      <c r="A8" s="31" t="s">
        <v>232</v>
      </c>
      <c r="B8" s="6" t="s">
        <v>233</v>
      </c>
      <c r="C8" s="32" t="n">
        <v>567901.29</v>
      </c>
      <c r="D8" s="32" t="n">
        <v>0</v>
      </c>
      <c r="E8" s="32" t="n">
        <v>21649.16</v>
      </c>
      <c r="F8" s="32" t="n">
        <v>0</v>
      </c>
      <c r="G8" s="32" t="n">
        <f aca="false">C8+D8+E8-F8</f>
        <v>589550.45</v>
      </c>
      <c r="H8" s="32" t="n">
        <v>58955.05</v>
      </c>
      <c r="I8" s="32" t="n">
        <v>32310.03</v>
      </c>
      <c r="J8" s="32" t="n">
        <v>679869.44</v>
      </c>
      <c r="K8" s="6" t="s">
        <v>422</v>
      </c>
      <c r="L8" s="32" t="n">
        <v>0</v>
      </c>
      <c r="M8" s="32" t="n">
        <v>0</v>
      </c>
    </row>
    <row r="9" customFormat="false" ht="15" hidden="false" customHeight="false" outlineLevel="0" collapsed="false">
      <c r="A9" s="31" t="s">
        <v>234</v>
      </c>
      <c r="B9" s="6" t="s">
        <v>235</v>
      </c>
      <c r="C9" s="32" t="n">
        <v>600692.26</v>
      </c>
      <c r="D9" s="32" t="n">
        <v>0</v>
      </c>
      <c r="E9" s="32" t="n">
        <v>21338.62</v>
      </c>
      <c r="F9" s="32" t="n">
        <v>0</v>
      </c>
      <c r="G9" s="32" t="n">
        <f aca="false">C9+D9+E9-F9</f>
        <v>622030.88</v>
      </c>
      <c r="H9" s="32" t="n">
        <v>62203.09</v>
      </c>
      <c r="I9" s="32" t="n">
        <v>38830.69</v>
      </c>
      <c r="J9" s="32" t="n">
        <v>164510.75</v>
      </c>
      <c r="K9" s="6" t="s">
        <v>342</v>
      </c>
      <c r="L9" s="32" t="n">
        <v>0</v>
      </c>
      <c r="M9" s="32" t="n">
        <v>0</v>
      </c>
    </row>
    <row r="10" customFormat="false" ht="15" hidden="false" customHeight="false" outlineLevel="0" collapsed="false">
      <c r="A10" s="31" t="s">
        <v>237</v>
      </c>
      <c r="B10" s="6" t="s">
        <v>238</v>
      </c>
      <c r="C10" s="32" t="n">
        <v>577332.39</v>
      </c>
      <c r="D10" s="32" t="n">
        <v>0</v>
      </c>
      <c r="E10" s="32" t="n">
        <v>21433.34</v>
      </c>
      <c r="F10" s="32" t="n">
        <v>0</v>
      </c>
      <c r="G10" s="32" t="n">
        <f aca="false">C10+D10+E10-F10</f>
        <v>598765.73</v>
      </c>
      <c r="H10" s="32" t="n">
        <v>59876.57</v>
      </c>
      <c r="I10" s="32" t="n">
        <v>57943.45</v>
      </c>
      <c r="J10" s="32" t="n">
        <v>24978.35</v>
      </c>
      <c r="K10" s="6" t="s">
        <v>346</v>
      </c>
      <c r="L10" s="32" t="n">
        <v>1275</v>
      </c>
      <c r="M10" s="32" t="n">
        <v>0</v>
      </c>
    </row>
    <row r="11" customFormat="false" ht="15" hidden="false" customHeight="false" outlineLevel="0" collapsed="false">
      <c r="A11" s="31" t="s">
        <v>240</v>
      </c>
      <c r="B11" s="6" t="s">
        <v>241</v>
      </c>
      <c r="C11" s="32" t="n">
        <v>573547.24</v>
      </c>
      <c r="D11" s="32" t="n">
        <v>0</v>
      </c>
      <c r="E11" s="32" t="n">
        <v>21578.34</v>
      </c>
      <c r="F11" s="32" t="n">
        <v>0</v>
      </c>
      <c r="G11" s="32" t="n">
        <f aca="false">C11+D11+E11-F11</f>
        <v>595125.58</v>
      </c>
      <c r="H11" s="32" t="n">
        <v>59512.55</v>
      </c>
      <c r="I11" s="32" t="n">
        <v>63015.69</v>
      </c>
      <c r="J11" s="32" t="n">
        <v>25170.3</v>
      </c>
      <c r="K11" s="6" t="s">
        <v>337</v>
      </c>
      <c r="L11" s="32" t="n">
        <v>1275</v>
      </c>
      <c r="M11" s="32" t="n">
        <v>1275</v>
      </c>
    </row>
    <row r="12" customFormat="false" ht="15" hidden="false" customHeight="false" outlineLevel="0" collapsed="false">
      <c r="A12" s="31" t="s">
        <v>242</v>
      </c>
      <c r="B12" s="6" t="s">
        <v>243</v>
      </c>
      <c r="C12" s="32" t="n">
        <v>572071.28</v>
      </c>
      <c r="D12" s="32" t="n">
        <v>0</v>
      </c>
      <c r="E12" s="32" t="n">
        <v>21162.22</v>
      </c>
      <c r="F12" s="32" t="n">
        <v>0</v>
      </c>
      <c r="G12" s="32" t="n">
        <f aca="false">C12+D12+E12-F12</f>
        <v>593233.5</v>
      </c>
      <c r="H12" s="32" t="n">
        <v>59323.35</v>
      </c>
      <c r="I12" s="32" t="n">
        <v>57194.48</v>
      </c>
      <c r="J12" s="32" t="n">
        <v>24743.23</v>
      </c>
      <c r="K12" s="6" t="s">
        <v>423</v>
      </c>
      <c r="L12" s="32" t="n">
        <v>1275</v>
      </c>
      <c r="M12" s="32" t="n">
        <v>2550</v>
      </c>
    </row>
    <row r="13" customFormat="false" ht="15" hidden="false" customHeight="false" outlineLevel="0" collapsed="false">
      <c r="A13" s="31" t="s">
        <v>244</v>
      </c>
      <c r="B13" s="6" t="s">
        <v>245</v>
      </c>
      <c r="C13" s="32" t="n">
        <v>511932.63</v>
      </c>
      <c r="D13" s="32" t="n">
        <v>0</v>
      </c>
      <c r="E13" s="32" t="n">
        <v>20168.42</v>
      </c>
      <c r="F13" s="32" t="n">
        <v>3825</v>
      </c>
      <c r="G13" s="32" t="n">
        <f aca="false">C13+D13+E13-F13</f>
        <v>528276.05</v>
      </c>
      <c r="H13" s="32" t="n">
        <v>52827.6</v>
      </c>
      <c r="I13" s="32" t="n">
        <v>51664.51</v>
      </c>
      <c r="J13" s="32" t="n">
        <v>23583.86</v>
      </c>
      <c r="K13" s="6" t="s">
        <v>424</v>
      </c>
      <c r="L13" s="32" t="n">
        <v>1275</v>
      </c>
      <c r="M13" s="32" t="n">
        <v>0</v>
      </c>
    </row>
    <row r="14" customFormat="false" ht="15" hidden="false" customHeight="false" outlineLevel="0" collapsed="false">
      <c r="A14" s="31" t="s">
        <v>247</v>
      </c>
      <c r="B14" s="6" t="s">
        <v>248</v>
      </c>
      <c r="C14" s="32" t="n">
        <v>524410.3</v>
      </c>
      <c r="D14" s="32" t="n">
        <v>0</v>
      </c>
      <c r="E14" s="32" t="n">
        <v>19603.9</v>
      </c>
      <c r="F14" s="32" t="n">
        <v>1275</v>
      </c>
      <c r="G14" s="32" t="n">
        <f aca="false">C14+D14+E14-F14</f>
        <v>542739.2</v>
      </c>
      <c r="H14" s="32" t="n">
        <v>54273.92</v>
      </c>
      <c r="I14" s="32" t="n">
        <v>53019.01</v>
      </c>
      <c r="J14" s="32" t="n">
        <v>270040.77</v>
      </c>
      <c r="K14" s="6" t="s">
        <v>425</v>
      </c>
      <c r="L14" s="32" t="n">
        <v>1275</v>
      </c>
      <c r="M14" s="32" t="n">
        <v>0</v>
      </c>
    </row>
    <row r="15" customFormat="false" ht="15" hidden="false" customHeight="false" outlineLevel="0" collapsed="false">
      <c r="A15" s="31" t="s">
        <v>250</v>
      </c>
      <c r="B15" s="6" t="s">
        <v>251</v>
      </c>
      <c r="C15" s="32" t="n">
        <v>456085.8</v>
      </c>
      <c r="D15" s="32" t="n">
        <v>0</v>
      </c>
      <c r="E15" s="32" t="n">
        <v>18852.94</v>
      </c>
      <c r="F15" s="32" t="n">
        <v>1275</v>
      </c>
      <c r="G15" s="32" t="n">
        <f aca="false">C15+D15+E15-F15</f>
        <v>473663.74</v>
      </c>
      <c r="H15" s="32" t="n">
        <v>47366.37</v>
      </c>
      <c r="I15" s="32" t="n">
        <v>47070.08</v>
      </c>
      <c r="J15" s="32" t="n">
        <v>568100.19</v>
      </c>
      <c r="K15" s="6" t="s">
        <v>426</v>
      </c>
      <c r="L15" s="32" t="n">
        <v>1275</v>
      </c>
      <c r="M15" s="32" t="n">
        <v>0</v>
      </c>
    </row>
    <row r="16" customFormat="false" ht="15" hidden="false" customHeight="false" outlineLevel="0" collapsed="false">
      <c r="A16" s="31" t="s">
        <v>253</v>
      </c>
      <c r="B16" s="6" t="s">
        <v>254</v>
      </c>
      <c r="C16" s="32" t="n">
        <v>459094.38</v>
      </c>
      <c r="D16" s="32" t="n">
        <v>0</v>
      </c>
      <c r="E16" s="32" t="n">
        <v>19209.32</v>
      </c>
      <c r="F16" s="32" t="n">
        <v>1650</v>
      </c>
      <c r="G16" s="32" t="n">
        <f aca="false">C16+D16+E16-F16</f>
        <v>476653.7</v>
      </c>
      <c r="H16" s="32" t="n">
        <v>47665.37</v>
      </c>
      <c r="I16" s="32" t="n">
        <v>47224.64</v>
      </c>
      <c r="J16" s="32" t="n">
        <v>571543.71</v>
      </c>
      <c r="K16" s="6" t="s">
        <v>427</v>
      </c>
      <c r="L16" s="32" t="n">
        <v>1650</v>
      </c>
      <c r="M16" s="32" t="n">
        <v>0</v>
      </c>
    </row>
    <row r="17" customFormat="false" ht="15" hidden="false" customHeight="false" outlineLevel="0" collapsed="false">
      <c r="A17" s="31" t="s">
        <v>256</v>
      </c>
      <c r="B17" s="6" t="s">
        <v>257</v>
      </c>
      <c r="C17" s="32" t="n">
        <v>482361.64</v>
      </c>
      <c r="D17" s="32" t="n">
        <v>0</v>
      </c>
      <c r="E17" s="32" t="n">
        <v>19470.86</v>
      </c>
      <c r="F17" s="32" t="n">
        <v>1950</v>
      </c>
      <c r="G17" s="32" t="n">
        <f aca="false">C17+D17+E17-F17</f>
        <v>499882.5</v>
      </c>
      <c r="H17" s="32" t="n">
        <v>49988.25</v>
      </c>
      <c r="I17" s="32" t="n">
        <v>48367.07</v>
      </c>
      <c r="J17" s="32" t="n">
        <v>598237.82</v>
      </c>
      <c r="K17" s="6" t="s">
        <v>428</v>
      </c>
      <c r="L17" s="32" t="n">
        <v>1950</v>
      </c>
      <c r="M17" s="32" t="n">
        <v>0</v>
      </c>
    </row>
    <row r="18" customFormat="false" ht="15" hidden="false" customHeight="false" outlineLevel="0" collapsed="false">
      <c r="A18" s="31" t="s">
        <v>259</v>
      </c>
      <c r="B18" s="6" t="s">
        <v>260</v>
      </c>
      <c r="C18" s="32" t="n">
        <v>471664.04</v>
      </c>
      <c r="D18" s="32" t="n">
        <v>0</v>
      </c>
      <c r="E18" s="32" t="n">
        <v>17473.2</v>
      </c>
      <c r="F18" s="32" t="n">
        <v>0</v>
      </c>
      <c r="G18" s="32" t="n">
        <f aca="false">C18+D18+E18-F18</f>
        <v>489137.24</v>
      </c>
      <c r="H18" s="32" t="n">
        <v>0</v>
      </c>
      <c r="I18" s="32" t="n">
        <v>0</v>
      </c>
      <c r="J18" s="32" t="n">
        <v>489137.24</v>
      </c>
      <c r="K18" s="6" t="s">
        <v>261</v>
      </c>
      <c r="L18" s="32" t="n">
        <v>3196.88</v>
      </c>
      <c r="M18" s="32" t="n">
        <v>3196.88</v>
      </c>
    </row>
    <row r="19" customFormat="false" ht="15" hidden="false" customHeight="false" outlineLevel="0" collapsed="false">
      <c r="A19" s="31" t="s">
        <v>262</v>
      </c>
      <c r="B19" s="6" t="s">
        <v>263</v>
      </c>
      <c r="C19" s="32" t="n">
        <v>487455.66</v>
      </c>
      <c r="D19" s="32" t="n">
        <v>0</v>
      </c>
      <c r="E19" s="32" t="n">
        <v>18140.14</v>
      </c>
      <c r="F19" s="32" t="n">
        <v>4996.88</v>
      </c>
      <c r="G19" s="32" t="n">
        <f aca="false">C19+D19+E19-F19</f>
        <v>500598.92</v>
      </c>
      <c r="H19" s="32" t="n">
        <v>50059.89</v>
      </c>
      <c r="I19" s="32" t="n">
        <v>43054.91</v>
      </c>
      <c r="J19" s="32" t="n">
        <v>593713.72</v>
      </c>
      <c r="K19" s="6" t="s">
        <v>363</v>
      </c>
      <c r="L19" s="32" t="n">
        <v>1800</v>
      </c>
      <c r="M19" s="32" t="n">
        <v>0</v>
      </c>
    </row>
    <row r="20" customFormat="false" ht="15" hidden="false" customHeight="false" outlineLevel="0" collapsed="false">
      <c r="A20" s="31" t="s">
        <v>265</v>
      </c>
      <c r="B20" s="6" t="s">
        <v>266</v>
      </c>
      <c r="C20" s="32" t="n">
        <v>489497.04</v>
      </c>
      <c r="D20" s="32" t="n">
        <v>0</v>
      </c>
      <c r="E20" s="32" t="n">
        <v>17825.22</v>
      </c>
      <c r="F20" s="32" t="n">
        <v>0</v>
      </c>
      <c r="G20" s="32" t="n">
        <f aca="false">C20+D20+E20-F20</f>
        <v>507322.26</v>
      </c>
      <c r="H20" s="32" t="n">
        <v>50732.22</v>
      </c>
      <c r="I20" s="32" t="n">
        <v>42667.21</v>
      </c>
      <c r="J20" s="32" t="n">
        <v>600721.69</v>
      </c>
      <c r="K20" s="6" t="s">
        <v>355</v>
      </c>
      <c r="L20" s="32" t="n">
        <v>1575</v>
      </c>
      <c r="M20" s="32" t="n">
        <v>1575</v>
      </c>
    </row>
    <row r="21" customFormat="false" ht="15" hidden="false" customHeight="false" outlineLevel="0" collapsed="false">
      <c r="A21" s="31" t="s">
        <v>268</v>
      </c>
      <c r="B21" s="6" t="s">
        <v>269</v>
      </c>
      <c r="C21" s="32" t="n">
        <v>487058.85</v>
      </c>
      <c r="D21" s="32" t="n">
        <v>0</v>
      </c>
      <c r="E21" s="32" t="n">
        <v>18142.24</v>
      </c>
      <c r="F21" s="32" t="n">
        <v>0</v>
      </c>
      <c r="G21" s="32" t="n">
        <f aca="false">C21+D21+E21-F21</f>
        <v>505201.09</v>
      </c>
      <c r="H21" s="32" t="n">
        <v>0</v>
      </c>
      <c r="I21" s="32" t="n">
        <v>0</v>
      </c>
      <c r="J21" s="32" t="n">
        <v>505201.09</v>
      </c>
      <c r="K21" s="6" t="s">
        <v>270</v>
      </c>
      <c r="L21" s="32" t="n">
        <v>1275</v>
      </c>
      <c r="M21" s="32" t="n">
        <v>2850</v>
      </c>
    </row>
    <row r="22" customFormat="false" ht="15" hidden="false" customHeight="false" outlineLevel="0" collapsed="false">
      <c r="A22" s="31" t="s">
        <v>271</v>
      </c>
      <c r="B22" s="6" t="s">
        <v>272</v>
      </c>
      <c r="C22" s="32" t="n">
        <v>510700.1</v>
      </c>
      <c r="D22" s="32" t="n">
        <v>0</v>
      </c>
      <c r="E22" s="32" t="n">
        <v>18522.44</v>
      </c>
      <c r="F22" s="32" t="n">
        <v>0</v>
      </c>
      <c r="G22" s="32" t="n">
        <f aca="false">C22+D22+E22-F22</f>
        <v>529222.54</v>
      </c>
      <c r="H22" s="32" t="n">
        <v>52922.25</v>
      </c>
      <c r="I22" s="32" t="n">
        <v>40380.41</v>
      </c>
      <c r="J22" s="32" t="n">
        <v>606375.36</v>
      </c>
      <c r="K22" s="6" t="s">
        <v>429</v>
      </c>
      <c r="L22" s="32" t="n">
        <v>2375.8</v>
      </c>
      <c r="M22" s="32" t="n">
        <v>0</v>
      </c>
    </row>
    <row r="23" customFormat="false" ht="15" hidden="false" customHeight="false" outlineLevel="0" collapsed="false">
      <c r="A23" s="31" t="s">
        <v>274</v>
      </c>
      <c r="B23" s="6" t="s">
        <v>275</v>
      </c>
      <c r="C23" s="32" t="n">
        <v>514518.07</v>
      </c>
      <c r="D23" s="32" t="n">
        <v>0</v>
      </c>
      <c r="E23" s="32" t="n">
        <v>18110.88</v>
      </c>
      <c r="F23" s="32" t="n">
        <v>0</v>
      </c>
      <c r="G23" s="32" t="n">
        <f aca="false">C23+D23+E23-F23</f>
        <v>532628.95</v>
      </c>
      <c r="H23" s="32" t="n">
        <v>53262.9</v>
      </c>
      <c r="I23" s="32" t="n">
        <v>5526.03</v>
      </c>
      <c r="J23" s="32" t="n">
        <v>532628.95</v>
      </c>
      <c r="K23" s="6" t="s">
        <v>430</v>
      </c>
      <c r="L23" s="32" t="n">
        <v>2891.67</v>
      </c>
      <c r="M23" s="32" t="n">
        <v>2891.67</v>
      </c>
    </row>
    <row r="24" customFormat="false" ht="15" hidden="false" customHeight="false" outlineLevel="0" collapsed="false">
      <c r="A24" s="31" t="s">
        <v>276</v>
      </c>
      <c r="B24" s="6" t="s">
        <v>277</v>
      </c>
      <c r="C24" s="32" t="n">
        <v>510730.05</v>
      </c>
      <c r="D24" s="32" t="n">
        <v>0</v>
      </c>
      <c r="E24" s="32" t="n">
        <v>17979.58</v>
      </c>
      <c r="F24" s="32" t="n">
        <v>0</v>
      </c>
      <c r="G24" s="32" t="n">
        <f aca="false">C24+D24+E24-F24</f>
        <v>528709.63</v>
      </c>
      <c r="H24" s="32" t="n">
        <v>0</v>
      </c>
      <c r="I24" s="32" t="n">
        <v>0</v>
      </c>
      <c r="J24" s="32" t="n">
        <v>528709.63</v>
      </c>
      <c r="K24" s="6" t="s">
        <v>278</v>
      </c>
      <c r="L24" s="32" t="n">
        <v>0</v>
      </c>
      <c r="M24" s="32" t="n">
        <v>0</v>
      </c>
    </row>
    <row r="25" customFormat="false" ht="15" hidden="false" customHeight="false" outlineLevel="0" collapsed="false">
      <c r="A25" s="31" t="s">
        <v>279</v>
      </c>
      <c r="B25" s="6" t="s">
        <v>280</v>
      </c>
      <c r="C25" s="32" t="n">
        <v>528660.79</v>
      </c>
      <c r="D25" s="32" t="n">
        <v>0</v>
      </c>
      <c r="E25" s="32" t="n">
        <v>18312.62</v>
      </c>
      <c r="F25" s="32" t="n">
        <v>0</v>
      </c>
      <c r="G25" s="32" t="n">
        <f aca="false">C25+D25+E25-F25</f>
        <v>546973.41</v>
      </c>
      <c r="H25" s="32" t="n">
        <v>0</v>
      </c>
      <c r="I25" s="32" t="n">
        <v>0</v>
      </c>
      <c r="J25" s="32" t="n">
        <v>546973.41</v>
      </c>
      <c r="K25" s="6" t="s">
        <v>431</v>
      </c>
      <c r="L25" s="32" t="n">
        <v>3234.38</v>
      </c>
      <c r="M25" s="32" t="n">
        <v>6126.05</v>
      </c>
    </row>
    <row r="26" customFormat="false" ht="15" hidden="false" customHeight="false" outlineLevel="0" collapsed="false">
      <c r="A26" s="31" t="s">
        <v>282</v>
      </c>
      <c r="B26" s="6" t="s">
        <v>283</v>
      </c>
      <c r="C26" s="32" t="n">
        <v>867710.88</v>
      </c>
      <c r="D26" s="32" t="n">
        <v>0</v>
      </c>
      <c r="E26" s="32" t="n">
        <v>20293.88</v>
      </c>
      <c r="F26" s="32" t="n">
        <v>0</v>
      </c>
      <c r="G26" s="32" t="n">
        <f aca="false">C26+D26+E26-F26</f>
        <v>888004.76</v>
      </c>
      <c r="H26" s="32" t="n">
        <v>0</v>
      </c>
      <c r="I26" s="32" t="n">
        <v>0</v>
      </c>
      <c r="J26" s="32" t="n">
        <v>888004.76</v>
      </c>
      <c r="K26" s="6" t="s">
        <v>284</v>
      </c>
      <c r="L26" s="32" t="n">
        <v>980.63</v>
      </c>
      <c r="M26" s="32" t="n">
        <v>7106.68</v>
      </c>
    </row>
    <row r="27" customFormat="false" ht="15" hidden="false" customHeight="false" outlineLevel="0" collapsed="false">
      <c r="A27" s="31" t="s">
        <v>285</v>
      </c>
      <c r="B27" s="6" t="s">
        <v>286</v>
      </c>
      <c r="C27" s="32" t="n">
        <v>538470.62</v>
      </c>
      <c r="D27" s="32" t="n">
        <v>0</v>
      </c>
      <c r="E27" s="32" t="n">
        <v>17912.82</v>
      </c>
      <c r="F27" s="32" t="n">
        <v>9169.18</v>
      </c>
      <c r="G27" s="32" t="n">
        <f aca="false">C27+D27+E27-F27</f>
        <v>547214.26</v>
      </c>
      <c r="H27" s="32" t="n">
        <v>0</v>
      </c>
      <c r="I27" s="32" t="n">
        <v>0</v>
      </c>
      <c r="J27" s="32" t="n">
        <v>547214.26</v>
      </c>
      <c r="K27" s="6" t="s">
        <v>287</v>
      </c>
      <c r="L27" s="32" t="n">
        <v>2062.5</v>
      </c>
      <c r="M27" s="32" t="n">
        <v>0</v>
      </c>
    </row>
    <row r="28" customFormat="false" ht="15" hidden="false" customHeight="false" outlineLevel="0" collapsed="false">
      <c r="A28" s="31" t="s">
        <v>288</v>
      </c>
      <c r="B28" s="6" t="s">
        <v>289</v>
      </c>
      <c r="C28" s="32" t="n">
        <v>574178.37</v>
      </c>
      <c r="D28" s="32" t="n">
        <v>0</v>
      </c>
      <c r="E28" s="32" t="n">
        <v>18713.32</v>
      </c>
      <c r="F28" s="32" t="n">
        <v>525</v>
      </c>
      <c r="G28" s="32" t="n">
        <f aca="false">C28+D28+E28-F28</f>
        <v>592366.69</v>
      </c>
      <c r="H28" s="32" t="n">
        <v>0</v>
      </c>
      <c r="I28" s="32" t="n">
        <v>0</v>
      </c>
      <c r="J28" s="32" t="n">
        <v>592366.69</v>
      </c>
      <c r="K28" s="6" t="s">
        <v>290</v>
      </c>
      <c r="L28" s="32" t="n">
        <v>525</v>
      </c>
      <c r="M28" s="32" t="n">
        <v>0</v>
      </c>
    </row>
    <row r="29" customFormat="false" ht="15" hidden="false" customHeight="false" outlineLevel="0" collapsed="false">
      <c r="A29" s="31" t="s">
        <v>291</v>
      </c>
      <c r="B29" s="6" t="s">
        <v>292</v>
      </c>
      <c r="C29" s="32" t="n">
        <v>560697.02</v>
      </c>
      <c r="D29" s="32" t="n">
        <v>0</v>
      </c>
      <c r="E29" s="32" t="n">
        <v>18320.76</v>
      </c>
      <c r="F29" s="32" t="n">
        <v>436.5</v>
      </c>
      <c r="G29" s="32" t="n">
        <f aca="false">C29+D29+E29-F29</f>
        <v>578581.28</v>
      </c>
      <c r="H29" s="32" t="n">
        <v>0</v>
      </c>
      <c r="I29" s="32" t="n">
        <v>0</v>
      </c>
      <c r="J29" s="32" t="n">
        <v>578581.28</v>
      </c>
      <c r="K29" s="6" t="s">
        <v>293</v>
      </c>
      <c r="L29" s="32" t="n">
        <v>436.5</v>
      </c>
      <c r="M29" s="32" t="n">
        <v>0</v>
      </c>
    </row>
    <row r="30" customFormat="false" ht="15" hidden="false" customHeight="false" outlineLevel="0" collapsed="false">
      <c r="A30" s="31" t="s">
        <v>294</v>
      </c>
      <c r="B30" s="6" t="s">
        <v>295</v>
      </c>
      <c r="C30" s="32" t="n">
        <v>585640.5</v>
      </c>
      <c r="D30" s="32" t="n">
        <v>0</v>
      </c>
      <c r="E30" s="32" t="n">
        <v>18468.94</v>
      </c>
      <c r="F30" s="32" t="n">
        <v>90.83</v>
      </c>
      <c r="G30" s="32" t="n">
        <f aca="false">C30+D30+E30-F30</f>
        <v>604018.61</v>
      </c>
      <c r="H30" s="32" t="n">
        <v>0</v>
      </c>
      <c r="I30" s="32" t="n">
        <v>0</v>
      </c>
      <c r="J30" s="32" t="n">
        <v>604018.61</v>
      </c>
      <c r="K30" s="6" t="s">
        <v>296</v>
      </c>
      <c r="L30" s="32" t="n">
        <v>90.83</v>
      </c>
      <c r="M30" s="32" t="n">
        <v>0</v>
      </c>
    </row>
    <row r="31" customFormat="false" ht="15" hidden="false" customHeight="false" outlineLevel="0" collapsed="false">
      <c r="A31" s="31" t="s">
        <v>297</v>
      </c>
      <c r="B31" s="6" t="s">
        <v>298</v>
      </c>
      <c r="C31" s="32" t="n">
        <v>597948.97</v>
      </c>
      <c r="D31" s="32" t="n">
        <v>0</v>
      </c>
      <c r="E31" s="32" t="n">
        <v>18937.9</v>
      </c>
      <c r="F31" s="32" t="n">
        <v>90.83</v>
      </c>
      <c r="G31" s="32" t="n">
        <f aca="false">C31+D31+E31-F31</f>
        <v>616796.04</v>
      </c>
      <c r="H31" s="32" t="n">
        <v>0</v>
      </c>
      <c r="I31" s="32" t="n">
        <v>0</v>
      </c>
      <c r="J31" s="32" t="n">
        <v>616796.04</v>
      </c>
      <c r="K31" s="6" t="s">
        <v>432</v>
      </c>
      <c r="L31" s="32" t="n">
        <v>90.83</v>
      </c>
      <c r="M31" s="32" t="n">
        <v>0</v>
      </c>
    </row>
    <row r="32" customFormat="false" ht="15" hidden="false" customHeight="false" outlineLevel="0" collapsed="false">
      <c r="A32" s="31" t="s">
        <v>300</v>
      </c>
      <c r="B32" s="6" t="s">
        <v>301</v>
      </c>
      <c r="C32" s="32" t="n">
        <v>633105.66</v>
      </c>
      <c r="D32" s="32" t="n">
        <v>0</v>
      </c>
      <c r="E32" s="32" t="n">
        <v>21792.88</v>
      </c>
      <c r="F32" s="32" t="n">
        <v>90.83</v>
      </c>
      <c r="G32" s="32" t="n">
        <f aca="false">C32+D32+E32-F32</f>
        <v>654807.71</v>
      </c>
      <c r="H32" s="32" t="n">
        <v>0</v>
      </c>
      <c r="I32" s="32" t="n">
        <v>0</v>
      </c>
      <c r="J32" s="32" t="n">
        <v>654807.71</v>
      </c>
      <c r="K32" s="6" t="s">
        <v>302</v>
      </c>
      <c r="L32" s="32" t="n">
        <v>90.83</v>
      </c>
      <c r="M32" s="32" t="n">
        <v>0</v>
      </c>
    </row>
    <row r="33" customFormat="false" ht="15" hidden="false" customHeight="false" outlineLevel="0" collapsed="false">
      <c r="A33" s="31" t="s">
        <v>303</v>
      </c>
      <c r="B33" s="6" t="s">
        <v>79</v>
      </c>
      <c r="C33" s="32" t="n">
        <v>653302.6</v>
      </c>
      <c r="D33" s="32" t="n">
        <v>0</v>
      </c>
      <c r="E33" s="32" t="n">
        <v>25418.02</v>
      </c>
      <c r="F33" s="32" t="n">
        <v>37590.83</v>
      </c>
      <c r="G33" s="32" t="n">
        <f aca="false">C33+D33+E33-F33</f>
        <v>641129.79</v>
      </c>
      <c r="H33" s="32" t="n">
        <v>0</v>
      </c>
      <c r="I33" s="32" t="n">
        <v>0</v>
      </c>
      <c r="J33" s="32" t="n">
        <v>641129.79</v>
      </c>
      <c r="K33" s="6" t="s">
        <v>304</v>
      </c>
      <c r="L33" s="32" t="n">
        <v>37590.83</v>
      </c>
      <c r="M33" s="32" t="n">
        <v>0</v>
      </c>
    </row>
    <row r="34" customFormat="false" ht="15" hidden="false" customHeight="false" outlineLevel="0" collapsed="false">
      <c r="A34" s="31" t="s">
        <v>305</v>
      </c>
      <c r="B34" s="6" t="s">
        <v>80</v>
      </c>
      <c r="C34" s="32" t="n">
        <v>624609.95</v>
      </c>
      <c r="D34" s="32" t="n">
        <v>0</v>
      </c>
      <c r="E34" s="32" t="n">
        <v>24251.3</v>
      </c>
      <c r="F34" s="32" t="n">
        <v>63090.83</v>
      </c>
      <c r="G34" s="32" t="n">
        <f aca="false">C34+D34+E34-F34</f>
        <v>585770.42</v>
      </c>
      <c r="H34" s="32" t="n">
        <v>58577.04</v>
      </c>
      <c r="I34" s="32" t="n">
        <v>4935.24</v>
      </c>
      <c r="J34" s="32" t="n">
        <v>649282.7</v>
      </c>
      <c r="K34" s="6" t="s">
        <v>433</v>
      </c>
      <c r="L34" s="32" t="n">
        <v>63090.83</v>
      </c>
      <c r="M34" s="32" t="n">
        <v>0</v>
      </c>
    </row>
    <row r="35" customFormat="false" ht="15" hidden="false" customHeight="false" outlineLevel="0" collapsed="false">
      <c r="A35" s="31" t="s">
        <v>306</v>
      </c>
      <c r="B35" s="6" t="s">
        <v>81</v>
      </c>
      <c r="C35" s="32" t="n">
        <v>605717.96</v>
      </c>
      <c r="D35" s="32" t="n">
        <v>0</v>
      </c>
      <c r="E35" s="32" t="n">
        <v>23159.66</v>
      </c>
      <c r="F35" s="32" t="n">
        <v>55715.83</v>
      </c>
      <c r="G35" s="32" t="n">
        <f aca="false">C35+D35+E35-F35</f>
        <v>573161.79</v>
      </c>
      <c r="H35" s="32" t="n">
        <v>0</v>
      </c>
      <c r="I35" s="32" t="n">
        <v>0</v>
      </c>
      <c r="J35" s="32" t="n">
        <v>573161.79</v>
      </c>
      <c r="K35" s="6" t="s">
        <v>307</v>
      </c>
      <c r="L35" s="32" t="n">
        <v>55715.83</v>
      </c>
      <c r="M35" s="32" t="n">
        <v>0</v>
      </c>
    </row>
    <row r="37" customFormat="false" ht="15" hidden="false" customHeight="false" outlineLevel="0" collapsed="false">
      <c r="A37" s="12" t="s">
        <v>308</v>
      </c>
    </row>
    <row r="38" customFormat="false" ht="15" hidden="false" customHeight="false" outlineLevel="0" collapsed="false">
      <c r="A38" s="6" t="s">
        <v>313</v>
      </c>
      <c r="B38" s="6" t="s">
        <v>314</v>
      </c>
      <c r="C38" s="32" t="n">
        <v>5225.73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8"/>
    <col collapsed="false" customWidth="true" hidden="false" outlineLevel="0" max="4" min="4" style="0" width="13"/>
    <col collapsed="false" customWidth="true" hidden="false" outlineLevel="0" max="6" min="5" style="0" width="12"/>
    <col collapsed="false" customWidth="true" hidden="false" outlineLevel="0" max="8" min="7" style="0" width="16"/>
    <col collapsed="false" customWidth="true" hidden="false" outlineLevel="0" max="9" min="9" style="0" width="14"/>
    <col collapsed="false" customWidth="true" hidden="false" outlineLevel="0" max="10" min="10" style="0" width="12"/>
    <col collapsed="false" customWidth="true" hidden="false" outlineLevel="0" max="11" min="11" style="0" width="34"/>
    <col collapsed="false" customWidth="true" hidden="false" outlineLevel="0" max="12" min="12" style="0" width="12"/>
  </cols>
  <sheetData>
    <row r="1" customFormat="false" ht="17.35" hidden="false" customHeight="false" outlineLevel="0" collapsed="false">
      <c r="A1" s="1" t="s">
        <v>434</v>
      </c>
    </row>
    <row r="2" customFormat="false" ht="15" hidden="false" customHeight="false" outlineLevel="0" collapsed="false">
      <c r="A2" s="15" t="s">
        <v>435</v>
      </c>
    </row>
    <row r="4" customFormat="false" ht="23.85" hidden="false" customHeight="false" outlineLevel="0" collapsed="false">
      <c r="A4" s="3" t="s">
        <v>319</v>
      </c>
      <c r="B4" s="3" t="s">
        <v>320</v>
      </c>
      <c r="C4" s="3" t="s">
        <v>321</v>
      </c>
      <c r="D4" s="3" t="s">
        <v>322</v>
      </c>
      <c r="E4" s="3" t="s">
        <v>218</v>
      </c>
      <c r="F4" s="3" t="s">
        <v>175</v>
      </c>
      <c r="G4" s="3" t="s">
        <v>323</v>
      </c>
      <c r="H4" s="3" t="s">
        <v>324</v>
      </c>
      <c r="I4" s="3" t="s">
        <v>325</v>
      </c>
      <c r="J4" s="3" t="s">
        <v>326</v>
      </c>
      <c r="K4" s="3" t="s">
        <v>327</v>
      </c>
      <c r="L4" s="3" t="s">
        <v>328</v>
      </c>
    </row>
    <row r="5" customFormat="false" ht="15" hidden="false" customHeight="false" outlineLevel="0" collapsed="false">
      <c r="A5" s="31" t="s">
        <v>223</v>
      </c>
      <c r="B5" s="6" t="s">
        <v>224</v>
      </c>
      <c r="C5" s="32" t="n">
        <v>-181092.16</v>
      </c>
      <c r="D5" s="32" t="n">
        <v>0</v>
      </c>
      <c r="E5" s="32" t="n">
        <v>0</v>
      </c>
      <c r="F5" s="32" t="n">
        <v>0</v>
      </c>
      <c r="G5" s="32" t="n">
        <v>0</v>
      </c>
      <c r="H5" s="32" t="n">
        <v>181092.16</v>
      </c>
      <c r="I5" s="32" t="n">
        <v>0</v>
      </c>
      <c r="J5" s="6" t="s">
        <v>375</v>
      </c>
      <c r="K5" s="6" t="s">
        <v>375</v>
      </c>
      <c r="L5" s="33" t="n">
        <v>0</v>
      </c>
    </row>
    <row r="6" customFormat="false" ht="15" hidden="false" customHeight="false" outlineLevel="0" collapsed="false">
      <c r="A6" s="31" t="s">
        <v>226</v>
      </c>
      <c r="B6" s="6" t="s">
        <v>227</v>
      </c>
      <c r="C6" s="32" t="n">
        <v>-386237.43</v>
      </c>
      <c r="D6" s="32" t="n">
        <v>0</v>
      </c>
      <c r="E6" s="32" t="n">
        <v>0</v>
      </c>
      <c r="F6" s="32" t="n">
        <v>0</v>
      </c>
      <c r="G6" s="32" t="n">
        <v>0</v>
      </c>
      <c r="H6" s="32" t="n">
        <v>0</v>
      </c>
      <c r="I6" s="32" t="n">
        <v>386237.43</v>
      </c>
      <c r="J6" s="6" t="s">
        <v>330</v>
      </c>
      <c r="K6" s="6"/>
    </row>
    <row r="7" customFormat="false" ht="15" hidden="false" customHeight="false" outlineLevel="0" collapsed="false">
      <c r="A7" s="31" t="s">
        <v>229</v>
      </c>
      <c r="B7" s="6" t="s">
        <v>230</v>
      </c>
      <c r="C7" s="32" t="n">
        <v>-535288.75</v>
      </c>
      <c r="D7" s="32" t="n">
        <v>0</v>
      </c>
      <c r="E7" s="32" t="n">
        <v>0</v>
      </c>
      <c r="F7" s="32" t="n">
        <v>0</v>
      </c>
      <c r="G7" s="32" t="n">
        <v>0</v>
      </c>
      <c r="H7" s="32" t="n">
        <v>0</v>
      </c>
      <c r="I7" s="32" t="n">
        <v>535288.75</v>
      </c>
      <c r="J7" s="6" t="s">
        <v>378</v>
      </c>
      <c r="K7" s="6"/>
    </row>
    <row r="8" customFormat="false" ht="15" hidden="false" customHeight="false" outlineLevel="0" collapsed="false">
      <c r="A8" s="31" t="s">
        <v>232</v>
      </c>
      <c r="B8" s="6" t="s">
        <v>233</v>
      </c>
      <c r="C8" s="32" t="n">
        <v>-710585.18</v>
      </c>
      <c r="D8" s="32" t="n">
        <v>0</v>
      </c>
      <c r="E8" s="32" t="n">
        <v>0</v>
      </c>
      <c r="F8" s="32" t="n">
        <v>0</v>
      </c>
      <c r="G8" s="32" t="n">
        <v>0</v>
      </c>
      <c r="H8" s="32" t="n">
        <v>710585.18</v>
      </c>
      <c r="I8" s="32" t="n">
        <v>0</v>
      </c>
      <c r="J8" s="6" t="s">
        <v>333</v>
      </c>
      <c r="K8" s="6" t="s">
        <v>436</v>
      </c>
      <c r="L8" s="33" t="n">
        <v>1</v>
      </c>
    </row>
    <row r="9" customFormat="false" ht="15" hidden="false" customHeight="false" outlineLevel="0" collapsed="false">
      <c r="A9" s="31" t="s">
        <v>234</v>
      </c>
      <c r="B9" s="6" t="s">
        <v>235</v>
      </c>
      <c r="C9" s="32" t="n">
        <v>-347117.34</v>
      </c>
      <c r="D9" s="32" t="n">
        <v>0</v>
      </c>
      <c r="E9" s="32" t="n">
        <v>0</v>
      </c>
      <c r="F9" s="32" t="n">
        <v>0</v>
      </c>
      <c r="G9" s="32" t="n">
        <v>0</v>
      </c>
      <c r="H9" s="32" t="n">
        <v>347117.34</v>
      </c>
      <c r="I9" s="32" t="n">
        <v>0</v>
      </c>
      <c r="J9" s="6" t="s">
        <v>437</v>
      </c>
      <c r="K9" s="6" t="s">
        <v>438</v>
      </c>
      <c r="L9" s="33" t="n">
        <v>12</v>
      </c>
    </row>
    <row r="10" customFormat="false" ht="15" hidden="false" customHeight="false" outlineLevel="0" collapsed="false">
      <c r="A10" s="31" t="s">
        <v>237</v>
      </c>
      <c r="B10" s="6" t="s">
        <v>238</v>
      </c>
      <c r="C10" s="32" t="n">
        <v>-801069.13</v>
      </c>
      <c r="D10" s="32" t="n">
        <v>0</v>
      </c>
      <c r="E10" s="32" t="n">
        <v>0</v>
      </c>
      <c r="F10" s="32" t="n">
        <v>0</v>
      </c>
      <c r="G10" s="32" t="n">
        <v>0</v>
      </c>
      <c r="H10" s="32" t="n">
        <v>801069.13</v>
      </c>
      <c r="I10" s="32" t="n">
        <v>0</v>
      </c>
      <c r="J10" s="6" t="s">
        <v>336</v>
      </c>
      <c r="K10" s="6" t="s">
        <v>439</v>
      </c>
      <c r="L10" s="33" t="n">
        <v>23</v>
      </c>
    </row>
    <row r="11" customFormat="false" ht="15" hidden="false" customHeight="false" outlineLevel="0" collapsed="false">
      <c r="A11" s="31" t="s">
        <v>240</v>
      </c>
      <c r="B11" s="6" t="s">
        <v>241</v>
      </c>
      <c r="C11" s="32" t="n">
        <v>-550161.2</v>
      </c>
      <c r="D11" s="32" t="n">
        <v>0</v>
      </c>
      <c r="E11" s="32" t="n">
        <v>0</v>
      </c>
      <c r="F11" s="32" t="n">
        <v>0</v>
      </c>
      <c r="G11" s="32" t="n">
        <v>0</v>
      </c>
      <c r="H11" s="32" t="n">
        <v>550161.2</v>
      </c>
      <c r="I11" s="32" t="n">
        <v>0</v>
      </c>
      <c r="J11" s="6" t="s">
        <v>384</v>
      </c>
      <c r="K11" s="6" t="s">
        <v>440</v>
      </c>
      <c r="L11" s="33" t="n">
        <v>14</v>
      </c>
    </row>
    <row r="12" customFormat="false" ht="15" hidden="false" customHeight="false" outlineLevel="0" collapsed="false">
      <c r="A12" s="31" t="s">
        <v>242</v>
      </c>
      <c r="B12" s="6" t="s">
        <v>243</v>
      </c>
      <c r="C12" s="32" t="n">
        <v>-746662.85</v>
      </c>
      <c r="D12" s="32" t="n">
        <v>0</v>
      </c>
      <c r="E12" s="32" t="n">
        <v>0</v>
      </c>
      <c r="F12" s="32" t="n">
        <v>0</v>
      </c>
      <c r="G12" s="32" t="n">
        <v>0</v>
      </c>
      <c r="H12" s="32" t="n">
        <v>746662.85</v>
      </c>
      <c r="I12" s="32" t="n">
        <v>0</v>
      </c>
      <c r="J12" s="6" t="s">
        <v>339</v>
      </c>
      <c r="K12" s="6" t="s">
        <v>249</v>
      </c>
      <c r="L12" s="33" t="n">
        <v>39</v>
      </c>
    </row>
    <row r="13" customFormat="false" ht="15" hidden="false" customHeight="false" outlineLevel="0" collapsed="false">
      <c r="A13" s="31" t="s">
        <v>244</v>
      </c>
      <c r="B13" s="6" t="s">
        <v>245</v>
      </c>
      <c r="C13" s="32" t="n">
        <v>-129445.8</v>
      </c>
      <c r="D13" s="32" t="n">
        <v>0</v>
      </c>
      <c r="E13" s="32" t="n">
        <v>0</v>
      </c>
      <c r="F13" s="32" t="n">
        <v>0</v>
      </c>
      <c r="G13" s="32" t="n">
        <v>0</v>
      </c>
      <c r="H13" s="32" t="n">
        <v>129445.8</v>
      </c>
      <c r="I13" s="32" t="n">
        <v>0</v>
      </c>
      <c r="J13" s="6" t="s">
        <v>387</v>
      </c>
      <c r="K13" s="6" t="s">
        <v>249</v>
      </c>
      <c r="L13" s="33" t="n">
        <v>7</v>
      </c>
    </row>
    <row r="14" customFormat="false" ht="15" hidden="false" customHeight="false" outlineLevel="0" collapsed="false">
      <c r="A14" s="31" t="s">
        <v>247</v>
      </c>
      <c r="B14" s="6" t="s">
        <v>248</v>
      </c>
      <c r="C14" s="32" t="n">
        <v>-808264.18</v>
      </c>
      <c r="D14" s="32" t="n">
        <v>0</v>
      </c>
      <c r="E14" s="32" t="n">
        <v>0</v>
      </c>
      <c r="F14" s="32" t="n">
        <v>0</v>
      </c>
      <c r="G14" s="32" t="n">
        <v>0</v>
      </c>
      <c r="H14" s="32" t="n">
        <v>0</v>
      </c>
      <c r="I14" s="32" t="n">
        <v>808264.18</v>
      </c>
      <c r="J14" s="6" t="s">
        <v>342</v>
      </c>
      <c r="K14" s="6"/>
    </row>
    <row r="15" customFormat="false" ht="15" hidden="false" customHeight="false" outlineLevel="0" collapsed="false">
      <c r="A15" s="31" t="s">
        <v>250</v>
      </c>
      <c r="B15" s="6" t="s">
        <v>251</v>
      </c>
      <c r="C15" s="32" t="n">
        <v>-579439.74</v>
      </c>
      <c r="D15" s="32" t="n">
        <v>0</v>
      </c>
      <c r="E15" s="32" t="n">
        <v>0</v>
      </c>
      <c r="F15" s="32" t="n">
        <v>0</v>
      </c>
      <c r="G15" s="32" t="n">
        <v>0</v>
      </c>
      <c r="H15" s="32" t="n">
        <v>579439.74</v>
      </c>
      <c r="I15" s="32" t="n">
        <v>0</v>
      </c>
      <c r="J15" s="6" t="s">
        <v>390</v>
      </c>
      <c r="K15" s="6" t="s">
        <v>441</v>
      </c>
      <c r="L15" s="33" t="n">
        <v>12</v>
      </c>
    </row>
    <row r="16" customFormat="false" ht="15" hidden="false" customHeight="false" outlineLevel="0" collapsed="false">
      <c r="A16" s="31" t="s">
        <v>253</v>
      </c>
      <c r="B16" s="6" t="s">
        <v>254</v>
      </c>
      <c r="C16" s="32" t="n">
        <v>-226214</v>
      </c>
      <c r="D16" s="32" t="n">
        <v>0</v>
      </c>
      <c r="E16" s="32" t="n">
        <v>0</v>
      </c>
      <c r="F16" s="32" t="n">
        <v>0</v>
      </c>
      <c r="G16" s="32" t="n">
        <v>0</v>
      </c>
      <c r="H16" s="32" t="n">
        <v>0</v>
      </c>
      <c r="I16" s="32" t="n">
        <v>226214</v>
      </c>
      <c r="J16" s="6" t="s">
        <v>345</v>
      </c>
      <c r="K16" s="6"/>
    </row>
    <row r="17" customFormat="false" ht="15" hidden="false" customHeight="false" outlineLevel="0" collapsed="false">
      <c r="A17" s="31" t="s">
        <v>256</v>
      </c>
      <c r="B17" s="6" t="s">
        <v>257</v>
      </c>
      <c r="C17" s="32" t="n">
        <v>-834655.79</v>
      </c>
      <c r="D17" s="32" t="n">
        <v>0</v>
      </c>
      <c r="E17" s="32" t="n">
        <v>0</v>
      </c>
      <c r="F17" s="32" t="n">
        <v>0</v>
      </c>
      <c r="G17" s="32" t="n">
        <v>0</v>
      </c>
      <c r="H17" s="32" t="n">
        <v>0</v>
      </c>
      <c r="I17" s="32" t="n">
        <v>834655.79</v>
      </c>
      <c r="J17" s="6" t="s">
        <v>442</v>
      </c>
      <c r="K17" s="6"/>
    </row>
    <row r="18" customFormat="false" ht="15" hidden="false" customHeight="false" outlineLevel="0" collapsed="false">
      <c r="A18" s="31" t="s">
        <v>259</v>
      </c>
      <c r="B18" s="6" t="s">
        <v>260</v>
      </c>
      <c r="C18" s="32" t="n">
        <v>-144235.2</v>
      </c>
      <c r="D18" s="32" t="n">
        <v>0</v>
      </c>
      <c r="E18" s="32" t="n">
        <v>0</v>
      </c>
      <c r="F18" s="32" t="n">
        <v>0</v>
      </c>
      <c r="G18" s="32" t="n">
        <v>0</v>
      </c>
      <c r="H18" s="32" t="n">
        <v>0</v>
      </c>
      <c r="I18" s="32" t="n">
        <v>144235.2</v>
      </c>
      <c r="J18" s="6" t="s">
        <v>443</v>
      </c>
      <c r="K18" s="6"/>
    </row>
    <row r="19" customFormat="false" ht="15" hidden="false" customHeight="false" outlineLevel="0" collapsed="false">
      <c r="A19" s="31" t="s">
        <v>262</v>
      </c>
      <c r="B19" s="6" t="s">
        <v>263</v>
      </c>
      <c r="C19" s="32" t="n">
        <v>-343437.7</v>
      </c>
      <c r="D19" s="32" t="n">
        <v>0</v>
      </c>
      <c r="E19" s="32" t="n">
        <v>0</v>
      </c>
      <c r="F19" s="32" t="n">
        <v>0</v>
      </c>
      <c r="G19" s="32" t="n">
        <v>0</v>
      </c>
      <c r="H19" s="32" t="n">
        <v>0</v>
      </c>
      <c r="I19" s="32" t="n">
        <v>343437.7</v>
      </c>
      <c r="J19" s="6" t="s">
        <v>444</v>
      </c>
      <c r="K19" s="6"/>
    </row>
    <row r="20" customFormat="false" ht="15" hidden="false" customHeight="false" outlineLevel="0" collapsed="false">
      <c r="A20" s="31" t="s">
        <v>265</v>
      </c>
      <c r="B20" s="6" t="s">
        <v>266</v>
      </c>
      <c r="C20" s="32" t="n">
        <v>-361586</v>
      </c>
      <c r="D20" s="32" t="n">
        <v>0</v>
      </c>
      <c r="E20" s="32" t="n">
        <v>0</v>
      </c>
      <c r="F20" s="32" t="n">
        <v>0</v>
      </c>
      <c r="G20" s="32" t="n">
        <v>0</v>
      </c>
      <c r="H20" s="32" t="n">
        <v>0</v>
      </c>
      <c r="I20" s="32" t="n">
        <v>361586</v>
      </c>
      <c r="J20" s="6" t="s">
        <v>445</v>
      </c>
      <c r="K20" s="6"/>
    </row>
    <row r="21" customFormat="false" ht="15" hidden="false" customHeight="false" outlineLevel="0" collapsed="false">
      <c r="A21" s="31" t="s">
        <v>268</v>
      </c>
      <c r="B21" s="6" t="s">
        <v>269</v>
      </c>
      <c r="C21" s="32" t="n">
        <v>-255174.84</v>
      </c>
      <c r="D21" s="32" t="n">
        <v>0</v>
      </c>
      <c r="E21" s="32" t="n">
        <v>0</v>
      </c>
      <c r="F21" s="32" t="n">
        <v>0</v>
      </c>
      <c r="G21" s="32" t="n">
        <v>0</v>
      </c>
      <c r="H21" s="32" t="n">
        <v>0</v>
      </c>
      <c r="I21" s="32" t="n">
        <v>255174.84</v>
      </c>
      <c r="J21" s="6" t="s">
        <v>446</v>
      </c>
      <c r="K21" s="6"/>
    </row>
    <row r="22" customFormat="false" ht="15" hidden="false" customHeight="false" outlineLevel="0" collapsed="false">
      <c r="A22" s="31" t="s">
        <v>271</v>
      </c>
      <c r="B22" s="6" t="s">
        <v>272</v>
      </c>
      <c r="C22" s="32" t="n">
        <v>-383375.21</v>
      </c>
      <c r="D22" s="32" t="n">
        <v>0</v>
      </c>
      <c r="E22" s="32" t="n">
        <v>0</v>
      </c>
      <c r="F22" s="32" t="n">
        <v>0</v>
      </c>
      <c r="G22" s="32" t="n">
        <v>0</v>
      </c>
      <c r="H22" s="32" t="n">
        <v>0</v>
      </c>
      <c r="I22" s="32" t="n">
        <v>383375.21</v>
      </c>
      <c r="J22" s="6" t="s">
        <v>447</v>
      </c>
      <c r="K22" s="6"/>
    </row>
    <row r="23" customFormat="false" ht="15" hidden="false" customHeight="false" outlineLevel="0" collapsed="false">
      <c r="A23" s="31" t="s">
        <v>274</v>
      </c>
      <c r="B23" s="6" t="s">
        <v>275</v>
      </c>
      <c r="C23" s="32" t="n">
        <v>-417374.13</v>
      </c>
      <c r="D23" s="32" t="n">
        <v>0</v>
      </c>
      <c r="E23" s="32" t="n">
        <v>0</v>
      </c>
      <c r="F23" s="32" t="n">
        <v>0</v>
      </c>
      <c r="G23" s="32" t="n">
        <v>0</v>
      </c>
      <c r="H23" s="32" t="n">
        <v>0</v>
      </c>
      <c r="I23" s="32" t="n">
        <v>417374.13</v>
      </c>
      <c r="J23" s="6" t="s">
        <v>448</v>
      </c>
      <c r="K23" s="6"/>
    </row>
    <row r="24" customFormat="false" ht="15" hidden="false" customHeight="false" outlineLevel="0" collapsed="false">
      <c r="A24" s="31" t="s">
        <v>276</v>
      </c>
      <c r="B24" s="6" t="s">
        <v>277</v>
      </c>
      <c r="C24" s="32" t="n">
        <v>-454457.46</v>
      </c>
      <c r="D24" s="32" t="n">
        <v>0</v>
      </c>
      <c r="E24" s="32" t="n">
        <v>0</v>
      </c>
      <c r="F24" s="32" t="n">
        <v>0</v>
      </c>
      <c r="G24" s="32" t="n">
        <v>0</v>
      </c>
      <c r="H24" s="32" t="n">
        <v>454457.46</v>
      </c>
      <c r="I24" s="32" t="n">
        <v>0</v>
      </c>
      <c r="J24" s="6" t="s">
        <v>357</v>
      </c>
      <c r="K24" s="6" t="s">
        <v>449</v>
      </c>
      <c r="L24" s="33" t="n">
        <v>55</v>
      </c>
    </row>
    <row r="25" customFormat="false" ht="15" hidden="false" customHeight="false" outlineLevel="0" collapsed="false">
      <c r="A25" s="31" t="s">
        <v>279</v>
      </c>
      <c r="B25" s="6" t="s">
        <v>280</v>
      </c>
      <c r="C25" s="32" t="n">
        <v>-366017.3</v>
      </c>
      <c r="D25" s="32" t="n">
        <v>0</v>
      </c>
      <c r="E25" s="32" t="n">
        <v>0</v>
      </c>
      <c r="F25" s="32" t="n">
        <v>0</v>
      </c>
      <c r="G25" s="32" t="n">
        <v>0</v>
      </c>
      <c r="H25" s="32" t="n">
        <v>366017.3</v>
      </c>
      <c r="I25" s="32" t="n">
        <v>0</v>
      </c>
      <c r="J25" s="6" t="s">
        <v>450</v>
      </c>
      <c r="K25" s="6" t="s">
        <v>451</v>
      </c>
      <c r="L25" s="33" t="n">
        <v>2</v>
      </c>
    </row>
    <row r="26" customFormat="false" ht="15" hidden="false" customHeight="false" outlineLevel="0" collapsed="false">
      <c r="A26" s="31" t="s">
        <v>282</v>
      </c>
      <c r="B26" s="6" t="s">
        <v>283</v>
      </c>
      <c r="C26" s="32" t="n">
        <v>-491610.15</v>
      </c>
      <c r="D26" s="32" t="n">
        <v>0</v>
      </c>
      <c r="E26" s="32" t="n">
        <v>0</v>
      </c>
      <c r="F26" s="32" t="n">
        <v>0</v>
      </c>
      <c r="G26" s="32" t="n">
        <v>0</v>
      </c>
      <c r="H26" s="32" t="n">
        <v>491610.15</v>
      </c>
      <c r="I26" s="32" t="n">
        <v>0</v>
      </c>
      <c r="J26" s="6" t="s">
        <v>360</v>
      </c>
      <c r="K26" s="6" t="s">
        <v>452</v>
      </c>
      <c r="L26" s="33" t="n">
        <v>1</v>
      </c>
    </row>
    <row r="27" customFormat="false" ht="15" hidden="false" customHeight="false" outlineLevel="0" collapsed="false">
      <c r="A27" s="31" t="s">
        <v>285</v>
      </c>
      <c r="B27" s="6" t="s">
        <v>286</v>
      </c>
      <c r="C27" s="32" t="n">
        <v>-344919.32</v>
      </c>
      <c r="D27" s="32" t="n">
        <v>0</v>
      </c>
      <c r="E27" s="32" t="n">
        <v>0</v>
      </c>
      <c r="F27" s="32" t="n">
        <v>0</v>
      </c>
      <c r="G27" s="32" t="n">
        <v>0</v>
      </c>
      <c r="H27" s="32" t="n">
        <v>344919.32</v>
      </c>
      <c r="I27" s="32" t="n">
        <v>0</v>
      </c>
      <c r="J27" s="6" t="s">
        <v>406</v>
      </c>
      <c r="K27" s="6" t="s">
        <v>406</v>
      </c>
      <c r="L27" s="33" t="n">
        <v>0</v>
      </c>
    </row>
    <row r="28" customFormat="false" ht="15" hidden="false" customHeight="false" outlineLevel="0" collapsed="false">
      <c r="A28" s="31" t="s">
        <v>288</v>
      </c>
      <c r="B28" s="6" t="s">
        <v>289</v>
      </c>
      <c r="C28" s="32" t="n">
        <v>-579213.16</v>
      </c>
      <c r="D28" s="32" t="n">
        <v>0</v>
      </c>
      <c r="E28" s="32" t="n">
        <v>0</v>
      </c>
      <c r="F28" s="32" t="n">
        <v>0</v>
      </c>
      <c r="G28" s="32" t="n">
        <v>0</v>
      </c>
      <c r="H28" s="32" t="n">
        <v>579213.16</v>
      </c>
      <c r="I28" s="32" t="n">
        <v>0</v>
      </c>
      <c r="J28" s="6" t="s">
        <v>363</v>
      </c>
      <c r="K28" s="6" t="s">
        <v>453</v>
      </c>
      <c r="L28" s="33" t="n">
        <v>5</v>
      </c>
    </row>
    <row r="29" customFormat="false" ht="15" hidden="false" customHeight="false" outlineLevel="0" collapsed="false">
      <c r="A29" s="31" t="s">
        <v>291</v>
      </c>
      <c r="B29" s="6" t="s">
        <v>292</v>
      </c>
      <c r="C29" s="32" t="n">
        <v>-401978.93</v>
      </c>
      <c r="D29" s="32" t="n">
        <v>0</v>
      </c>
      <c r="E29" s="32" t="n">
        <v>0</v>
      </c>
      <c r="F29" s="32" t="n">
        <v>0</v>
      </c>
      <c r="G29" s="32" t="n">
        <v>0</v>
      </c>
      <c r="H29" s="32" t="n">
        <v>401978.93</v>
      </c>
      <c r="I29" s="32" t="n">
        <v>0</v>
      </c>
      <c r="J29" s="6" t="s">
        <v>409</v>
      </c>
      <c r="K29" s="6" t="s">
        <v>409</v>
      </c>
      <c r="L29" s="33" t="n">
        <v>0</v>
      </c>
    </row>
    <row r="30" customFormat="false" ht="15" hidden="false" customHeight="false" outlineLevel="0" collapsed="false">
      <c r="A30" s="31" t="s">
        <v>294</v>
      </c>
      <c r="B30" s="6" t="s">
        <v>295</v>
      </c>
      <c r="C30" s="32" t="n">
        <v>-587749.27</v>
      </c>
      <c r="D30" s="32" t="n">
        <v>0</v>
      </c>
      <c r="E30" s="32" t="n">
        <v>0</v>
      </c>
      <c r="F30" s="32" t="n">
        <v>0</v>
      </c>
      <c r="G30" s="32" t="n">
        <v>0</v>
      </c>
      <c r="H30" s="32" t="n">
        <v>587749.27</v>
      </c>
      <c r="I30" s="32" t="n">
        <v>0</v>
      </c>
      <c r="J30" s="6" t="s">
        <v>365</v>
      </c>
      <c r="K30" s="6" t="s">
        <v>365</v>
      </c>
      <c r="L30" s="33" t="n">
        <v>0</v>
      </c>
    </row>
    <row r="31" customFormat="false" ht="15" hidden="false" customHeight="false" outlineLevel="0" collapsed="false">
      <c r="A31" s="31" t="s">
        <v>297</v>
      </c>
      <c r="B31" s="6" t="s">
        <v>298</v>
      </c>
      <c r="C31" s="32" t="n">
        <v>-309416.27</v>
      </c>
      <c r="D31" s="32" t="n">
        <v>0</v>
      </c>
      <c r="E31" s="32" t="n">
        <v>0</v>
      </c>
      <c r="F31" s="32" t="n">
        <v>0</v>
      </c>
      <c r="G31" s="32" t="n">
        <v>0</v>
      </c>
      <c r="H31" s="32" t="n">
        <v>309416.27</v>
      </c>
      <c r="I31" s="32" t="n">
        <v>0</v>
      </c>
      <c r="J31" s="6" t="s">
        <v>412</v>
      </c>
      <c r="K31" s="6" t="s">
        <v>412</v>
      </c>
      <c r="L31" s="33" t="n">
        <v>0</v>
      </c>
    </row>
    <row r="32" customFormat="false" ht="15" hidden="false" customHeight="false" outlineLevel="0" collapsed="false">
      <c r="A32" s="31" t="s">
        <v>300</v>
      </c>
      <c r="B32" s="6" t="s">
        <v>301</v>
      </c>
      <c r="C32" s="32" t="n">
        <v>-411945.3</v>
      </c>
      <c r="D32" s="32" t="n">
        <v>0</v>
      </c>
      <c r="E32" s="32" t="n">
        <v>0</v>
      </c>
      <c r="F32" s="32" t="n">
        <v>0</v>
      </c>
      <c r="G32" s="32" t="n">
        <v>0</v>
      </c>
      <c r="H32" s="32" t="n">
        <v>411945.3</v>
      </c>
      <c r="I32" s="32" t="n">
        <v>0</v>
      </c>
      <c r="J32" s="6" t="s">
        <v>368</v>
      </c>
      <c r="K32" s="6" t="s">
        <v>368</v>
      </c>
      <c r="L32" s="33" t="n">
        <v>0</v>
      </c>
    </row>
    <row r="33" customFormat="false" ht="15" hidden="false" customHeight="false" outlineLevel="0" collapsed="false">
      <c r="A33" s="31" t="s">
        <v>303</v>
      </c>
      <c r="B33" s="6" t="s">
        <v>79</v>
      </c>
      <c r="C33" s="32" t="n">
        <v>-468173.56</v>
      </c>
      <c r="D33" s="32" t="n">
        <v>0</v>
      </c>
      <c r="E33" s="32" t="n">
        <v>0</v>
      </c>
      <c r="F33" s="32" t="n">
        <v>0</v>
      </c>
      <c r="G33" s="32" t="n">
        <v>0</v>
      </c>
      <c r="H33" s="32" t="n">
        <v>468173.56</v>
      </c>
      <c r="I33" s="32" t="n">
        <v>0</v>
      </c>
      <c r="J33" s="6" t="s">
        <v>454</v>
      </c>
      <c r="K33" s="6" t="s">
        <v>454</v>
      </c>
      <c r="L33" s="33" t="n">
        <v>0</v>
      </c>
    </row>
    <row r="34" customFormat="false" ht="15" hidden="false" customHeight="false" outlineLevel="0" collapsed="false">
      <c r="A34" s="31" t="s">
        <v>305</v>
      </c>
      <c r="B34" s="6" t="s">
        <v>80</v>
      </c>
      <c r="C34" s="32" t="n">
        <v>-761958.59</v>
      </c>
      <c r="D34" s="32" t="n">
        <v>0</v>
      </c>
      <c r="E34" s="32" t="n">
        <v>0</v>
      </c>
      <c r="F34" s="32" t="n">
        <v>0</v>
      </c>
      <c r="G34" s="32" t="n">
        <v>0</v>
      </c>
      <c r="H34" s="32" t="n">
        <v>761958.59</v>
      </c>
      <c r="I34" s="32" t="n">
        <v>0</v>
      </c>
      <c r="J34" s="6" t="s">
        <v>371</v>
      </c>
      <c r="K34" s="6" t="s">
        <v>455</v>
      </c>
      <c r="L34" s="33" t="n">
        <v>28</v>
      </c>
    </row>
    <row r="35" customFormat="false" ht="15" hidden="false" customHeight="false" outlineLevel="0" collapsed="false">
      <c r="A35" s="31" t="s">
        <v>306</v>
      </c>
      <c r="B35" s="6" t="s">
        <v>81</v>
      </c>
      <c r="C35" s="32" t="n">
        <v>-598538.79</v>
      </c>
      <c r="D35" s="32" t="n">
        <v>0</v>
      </c>
      <c r="E35" s="32" t="n">
        <v>0</v>
      </c>
      <c r="F35" s="32" t="n">
        <v>0</v>
      </c>
      <c r="G35" s="32" t="n">
        <v>0</v>
      </c>
      <c r="H35" s="32" t="n">
        <v>598538.79</v>
      </c>
      <c r="I35" s="32" t="n">
        <v>0</v>
      </c>
      <c r="J35" s="6" t="s">
        <v>418</v>
      </c>
      <c r="K35" s="6" t="s">
        <v>418</v>
      </c>
      <c r="L35" s="33"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2026-10-26T21:57:22Z</dcterms:created>
  <dc:creator>openpyxl</dc:creator>
  <dc:description/>
  <dc:language>en-US</dc:language>
  <cp:lastModifiedBy/>
  <dcterms:modified xsi:type="dcterms:W3CDTF">2026-10-26T21:57:22Z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